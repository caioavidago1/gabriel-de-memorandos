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pectrainvestimentos-my.sharepoint.com/personal/abastos_spectrainvest_com/Documents/Documentos/- Primaria/Shift/"/>
    </mc:Choice>
  </mc:AlternateContent>
  <xr:revisionPtr revIDLastSave="334" documentId="8_{6D301E04-4EBB-4692-814B-1C472FD8CF15}" xr6:coauthVersionLast="47" xr6:coauthVersionMax="47" xr10:uidLastSave="{CF43FDD5-9914-4D32-98B8-4DE6579AD771}"/>
  <bookViews>
    <workbookView xWindow="-105" yWindow="0" windowWidth="19410" windowHeight="15585" activeTab="1" xr2:uid="{6B0F7CBB-D97A-4F11-85F7-8011EBF2CBC7}"/>
  </bookViews>
  <sheets>
    <sheet name="Sheet2" sheetId="3" r:id="rId1"/>
    <sheet name="Sheet1" sheetId="1" r:id="rId2"/>
    <sheet name="Output" sheetId="2" r:id="rId3"/>
  </sheets>
  <definedNames>
    <definedName name="_xlnm._FilterDatabase" localSheetId="2" hidden="1">Output!$C$36:$J$58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AA31" i="1" s="1"/>
  <c r="Z26" i="1"/>
  <c r="AA26" i="1" s="1"/>
  <c r="Z17" i="1"/>
  <c r="AA17" i="1" s="1"/>
  <c r="AB17" i="1" s="1"/>
  <c r="AD31" i="1"/>
  <c r="AD28" i="1"/>
  <c r="AD26" i="1"/>
  <c r="AD17" i="1"/>
  <c r="AL31" i="1"/>
  <c r="AL26" i="1"/>
  <c r="AL18" i="1"/>
  <c r="AL17" i="1"/>
  <c r="AL16" i="1"/>
  <c r="AL15" i="1"/>
  <c r="Y34" i="1"/>
  <c r="AH6" i="1"/>
  <c r="AJ6" i="1" s="1"/>
  <c r="AH4" i="1"/>
  <c r="AI4" i="1" s="1"/>
  <c r="AB26" i="1" l="1"/>
  <c r="AC26" i="1"/>
  <c r="AC17" i="1"/>
  <c r="AB31" i="1"/>
  <c r="AJ4" i="1"/>
  <c r="AI6" i="1"/>
  <c r="AH20" i="1" l="1"/>
  <c r="AH23" i="1"/>
  <c r="AH28" i="1"/>
  <c r="AI28" i="1" s="1"/>
  <c r="AH31" i="1"/>
  <c r="AI31" i="1" s="1"/>
  <c r="AH10" i="1"/>
  <c r="AH13" i="1"/>
  <c r="AH26" i="1"/>
  <c r="AH15" i="1"/>
  <c r="AI26" i="1" l="1"/>
  <c r="AJ26" i="1"/>
  <c r="AI10" i="1"/>
  <c r="AJ10" i="1"/>
  <c r="AJ15" i="1"/>
  <c r="AI15" i="1"/>
  <c r="AJ23" i="1"/>
  <c r="AI23" i="1"/>
  <c r="AI13" i="1"/>
  <c r="AJ13" i="1"/>
  <c r="AJ20" i="1"/>
  <c r="AI20" i="1"/>
  <c r="BJ39" i="1" l="1"/>
  <c r="T39" i="1"/>
  <c r="S39" i="1"/>
  <c r="P39" i="1"/>
  <c r="O39" i="1"/>
  <c r="BJ38" i="1"/>
  <c r="BJ37" i="1"/>
  <c r="BJ36" i="1"/>
  <c r="T38" i="1"/>
  <c r="T37" i="1"/>
  <c r="T36" i="1"/>
  <c r="S38" i="1"/>
  <c r="S37" i="1"/>
  <c r="S36" i="1"/>
  <c r="R37" i="1"/>
  <c r="P38" i="1"/>
  <c r="P37" i="1"/>
  <c r="P36" i="1"/>
  <c r="O38" i="1"/>
  <c r="O37" i="1"/>
  <c r="O36" i="1"/>
  <c r="N37" i="1"/>
  <c r="BJ35" i="1"/>
  <c r="T35" i="1"/>
  <c r="S35" i="1"/>
  <c r="P35" i="1"/>
  <c r="O35" i="1"/>
  <c r="N29" i="1"/>
  <c r="F24" i="2" s="1"/>
  <c r="F41" i="2" s="1"/>
  <c r="R29" i="1"/>
  <c r="R28" i="1"/>
  <c r="R32" i="1"/>
  <c r="R31" i="1"/>
  <c r="D24" i="2"/>
  <c r="D41" i="2" s="1"/>
  <c r="G24" i="2"/>
  <c r="G70" i="2" s="1"/>
  <c r="D20" i="2"/>
  <c r="F20" i="2"/>
  <c r="G20" i="2"/>
  <c r="G26" i="2"/>
  <c r="G72" i="2" s="1"/>
  <c r="F26" i="2"/>
  <c r="F72" i="2" s="1"/>
  <c r="G25" i="2"/>
  <c r="G42" i="2" s="1"/>
  <c r="F25" i="2"/>
  <c r="F71" i="2" s="1"/>
  <c r="G41" i="2"/>
  <c r="G23" i="2"/>
  <c r="G40" i="2" s="1"/>
  <c r="F23" i="2"/>
  <c r="F69" i="2" s="1"/>
  <c r="G22" i="2"/>
  <c r="G39" i="2" s="1"/>
  <c r="F22" i="2"/>
  <c r="F39" i="2" s="1"/>
  <c r="G21" i="2"/>
  <c r="G38" i="2" s="1"/>
  <c r="F21" i="2"/>
  <c r="F38" i="2" s="1"/>
  <c r="G19" i="2"/>
  <c r="G65" i="2" s="1"/>
  <c r="F19" i="2"/>
  <c r="F65" i="2" s="1"/>
  <c r="G18" i="2"/>
  <c r="G64" i="2" s="1"/>
  <c r="F18" i="2"/>
  <c r="F64" i="2" s="1"/>
  <c r="G17" i="2"/>
  <c r="G37" i="2" s="1"/>
  <c r="F17" i="2"/>
  <c r="F37" i="2" s="1"/>
  <c r="G16" i="2"/>
  <c r="G62" i="2" s="1"/>
  <c r="F16" i="2"/>
  <c r="F62" i="2" s="1"/>
  <c r="G15" i="2"/>
  <c r="G61" i="2" s="1"/>
  <c r="F15" i="2"/>
  <c r="F61" i="2" s="1"/>
  <c r="G14" i="2"/>
  <c r="G60" i="2" s="1"/>
  <c r="F14" i="2"/>
  <c r="F60" i="2" s="1"/>
  <c r="G13" i="2"/>
  <c r="G59" i="2" s="1"/>
  <c r="F13" i="2"/>
  <c r="F59" i="2" s="1"/>
  <c r="G12" i="2"/>
  <c r="G58" i="2" s="1"/>
  <c r="F12" i="2"/>
  <c r="F58" i="2" s="1"/>
  <c r="G11" i="2"/>
  <c r="G57" i="2" s="1"/>
  <c r="F11" i="2"/>
  <c r="F57" i="2" s="1"/>
  <c r="G10" i="2"/>
  <c r="G56" i="2" s="1"/>
  <c r="F10" i="2"/>
  <c r="F56" i="2" s="1"/>
  <c r="G9" i="2"/>
  <c r="G55" i="2" s="1"/>
  <c r="F9" i="2"/>
  <c r="F55" i="2" s="1"/>
  <c r="G8" i="2"/>
  <c r="G54" i="2" s="1"/>
  <c r="F8" i="2"/>
  <c r="F54" i="2" s="1"/>
  <c r="G6" i="2"/>
  <c r="F6" i="2"/>
  <c r="D26" i="2"/>
  <c r="D43" i="2" s="1"/>
  <c r="D25" i="2"/>
  <c r="D42" i="2" s="1"/>
  <c r="D23" i="2"/>
  <c r="D22" i="2"/>
  <c r="D39" i="2" s="1"/>
  <c r="D21" i="2"/>
  <c r="D19" i="2"/>
  <c r="D18" i="2"/>
  <c r="D17" i="2"/>
  <c r="D16" i="2"/>
  <c r="D15" i="2"/>
  <c r="D14" i="2"/>
  <c r="D13" i="2"/>
  <c r="D12" i="2"/>
  <c r="D11" i="2"/>
  <c r="D10" i="2"/>
  <c r="D9" i="2"/>
  <c r="D8" i="2"/>
  <c r="D6" i="2"/>
  <c r="AJ28" i="1" l="1"/>
  <c r="AJ31" i="1"/>
  <c r="AC31" i="1"/>
  <c r="R36" i="1"/>
  <c r="R39" i="1"/>
  <c r="N38" i="1"/>
  <c r="R38" i="1"/>
  <c r="N35" i="1"/>
  <c r="R35" i="1"/>
  <c r="N36" i="1"/>
  <c r="N39" i="1"/>
  <c r="G67" i="2"/>
  <c r="G69" i="2"/>
  <c r="F63" i="2"/>
  <c r="F68" i="2"/>
  <c r="G63" i="2"/>
  <c r="G68" i="2"/>
  <c r="F67" i="2"/>
  <c r="G71" i="2"/>
  <c r="F70" i="2"/>
  <c r="D36" i="2"/>
  <c r="D37" i="2"/>
  <c r="D40" i="2"/>
  <c r="F43" i="2"/>
  <c r="G43" i="2"/>
  <c r="D38" i="2"/>
  <c r="F40" i="2"/>
  <c r="F36" i="2"/>
  <c r="G36" i="2"/>
  <c r="F42" i="2"/>
  <c r="BC32" i="1" l="1"/>
  <c r="BC31" i="1"/>
  <c r="BC29" i="1"/>
  <c r="BC28" i="1"/>
  <c r="BC26" i="1"/>
  <c r="BC24" i="1"/>
  <c r="BC23" i="1"/>
  <c r="BC21" i="1"/>
  <c r="BC20" i="1"/>
  <c r="BC18" i="1"/>
  <c r="BC17" i="1"/>
  <c r="BC16" i="1"/>
  <c r="BC15" i="1"/>
  <c r="BC13" i="1"/>
  <c r="BC11" i="1"/>
  <c r="BC10" i="1"/>
  <c r="BC8" i="1"/>
  <c r="BC7" i="1"/>
  <c r="BC6" i="1"/>
  <c r="BC4" i="1"/>
  <c r="BL43" i="1" l="1"/>
  <c r="AW32" i="1"/>
  <c r="AV32" i="1"/>
  <c r="AW31" i="1"/>
  <c r="AV31" i="1"/>
  <c r="AW29" i="1"/>
  <c r="AO29" i="1" s="1"/>
  <c r="AP29" i="1" s="1"/>
  <c r="H24" i="2" s="1"/>
  <c r="H70" i="2" s="1"/>
  <c r="AV29" i="1"/>
  <c r="AW28" i="1"/>
  <c r="AO28" i="1" s="1"/>
  <c r="AR28" i="1" s="1"/>
  <c r="AV28" i="1"/>
  <c r="AW26" i="1"/>
  <c r="AV26" i="1"/>
  <c r="AW24" i="1"/>
  <c r="AV24" i="1"/>
  <c r="AW23" i="1"/>
  <c r="AV23" i="1"/>
  <c r="AW21" i="1"/>
  <c r="AV21" i="1"/>
  <c r="AW20" i="1"/>
  <c r="AV20" i="1"/>
  <c r="AW18" i="1"/>
  <c r="AV18" i="1"/>
  <c r="AW17" i="1"/>
  <c r="AV17" i="1"/>
  <c r="AW16" i="1"/>
  <c r="AV16" i="1"/>
  <c r="AW15" i="1"/>
  <c r="AV15" i="1"/>
  <c r="AW13" i="1"/>
  <c r="AV13" i="1"/>
  <c r="AW11" i="1"/>
  <c r="AV11" i="1"/>
  <c r="AW10" i="1"/>
  <c r="AV10" i="1"/>
  <c r="AW8" i="1"/>
  <c r="AV8" i="1"/>
  <c r="AW7" i="1"/>
  <c r="AV7" i="1"/>
  <c r="AW6" i="1"/>
  <c r="AV6" i="1"/>
  <c r="AW4" i="1"/>
  <c r="AV4" i="1"/>
  <c r="V4" i="1"/>
  <c r="AV37" i="1" l="1"/>
  <c r="AV36" i="1"/>
  <c r="AV35" i="1"/>
  <c r="AV38" i="1"/>
  <c r="AV39" i="1"/>
  <c r="AW38" i="1"/>
  <c r="AW39" i="1"/>
  <c r="AW36" i="1"/>
  <c r="AW35" i="1"/>
  <c r="AW37" i="1"/>
  <c r="H41" i="2"/>
  <c r="AP28" i="1"/>
  <c r="H23" i="2" s="1"/>
  <c r="BM43" i="1"/>
  <c r="BM44" i="1" s="1"/>
  <c r="AR29" i="1"/>
  <c r="I13" i="1"/>
  <c r="E13" i="2" l="1"/>
  <c r="E59" i="2" s="1"/>
  <c r="BE13" i="1"/>
  <c r="H69" i="2"/>
  <c r="H40" i="2"/>
  <c r="BN43" i="1"/>
  <c r="BN44" i="1" s="1"/>
  <c r="AR13" i="1"/>
  <c r="AS13" i="1" s="1"/>
  <c r="I13" i="2" s="1"/>
  <c r="I59" i="2" s="1"/>
  <c r="BK13" i="1"/>
  <c r="AU32" i="1"/>
  <c r="J26" i="2" s="1"/>
  <c r="AU31" i="1"/>
  <c r="J25" i="2" s="1"/>
  <c r="J71" i="2" s="1"/>
  <c r="AU29" i="1"/>
  <c r="J24" i="2" s="1"/>
  <c r="AU28" i="1"/>
  <c r="J23" i="2" s="1"/>
  <c r="AU26" i="1"/>
  <c r="J22" i="2" s="1"/>
  <c r="AU24" i="1"/>
  <c r="J21" i="2" s="1"/>
  <c r="AU23" i="1"/>
  <c r="J20" i="2" s="1"/>
  <c r="AU21" i="1"/>
  <c r="J19" i="2" s="1"/>
  <c r="J65" i="2" s="1"/>
  <c r="AU20" i="1"/>
  <c r="J18" i="2" s="1"/>
  <c r="J64" i="2" s="1"/>
  <c r="AU18" i="1"/>
  <c r="J17" i="2" s="1"/>
  <c r="AU17" i="1"/>
  <c r="J16" i="2" s="1"/>
  <c r="AU16" i="1"/>
  <c r="J15" i="2" s="1"/>
  <c r="J61" i="2" s="1"/>
  <c r="AU15" i="1"/>
  <c r="J14" i="2" s="1"/>
  <c r="J60" i="2" s="1"/>
  <c r="AU13" i="1"/>
  <c r="J13" i="2" s="1"/>
  <c r="J59" i="2" s="1"/>
  <c r="AU11" i="1"/>
  <c r="J12" i="2" s="1"/>
  <c r="J58" i="2" s="1"/>
  <c r="AU10" i="1"/>
  <c r="J11" i="2" s="1"/>
  <c r="J57" i="2" s="1"/>
  <c r="AU8" i="1"/>
  <c r="J10" i="2" s="1"/>
  <c r="J56" i="2" s="1"/>
  <c r="AU7" i="1"/>
  <c r="J9" i="2" s="1"/>
  <c r="J55" i="2" s="1"/>
  <c r="AU6" i="1"/>
  <c r="J8" i="2" s="1"/>
  <c r="J54" i="2" s="1"/>
  <c r="AU4" i="1"/>
  <c r="J6" i="2" s="1"/>
  <c r="I6" i="1"/>
  <c r="I7" i="1"/>
  <c r="I8" i="1"/>
  <c r="I10" i="1"/>
  <c r="I11" i="1"/>
  <c r="K13" i="1"/>
  <c r="AO13" i="1" s="1"/>
  <c r="AP13" i="1" s="1"/>
  <c r="H13" i="2" s="1"/>
  <c r="H59" i="2" s="1"/>
  <c r="I16" i="1"/>
  <c r="I17" i="1"/>
  <c r="I18" i="1"/>
  <c r="I20" i="1"/>
  <c r="I21" i="1"/>
  <c r="I23" i="1"/>
  <c r="I24" i="1"/>
  <c r="I26" i="1"/>
  <c r="AE26" i="1" s="1"/>
  <c r="I28" i="1"/>
  <c r="I29" i="1"/>
  <c r="I31" i="1"/>
  <c r="AE31" i="1" s="1"/>
  <c r="I32" i="1"/>
  <c r="H15" i="1"/>
  <c r="I15" i="1" s="1"/>
  <c r="I4" i="1"/>
  <c r="AE17" i="1" l="1"/>
  <c r="I36" i="1"/>
  <c r="I35" i="1"/>
  <c r="I39" i="1"/>
  <c r="I38" i="1"/>
  <c r="I41" i="1" s="1"/>
  <c r="I37" i="1"/>
  <c r="BK28" i="1"/>
  <c r="E23" i="2"/>
  <c r="V28" i="1"/>
  <c r="BK10" i="1"/>
  <c r="E11" i="2"/>
  <c r="E57" i="2" s="1"/>
  <c r="BE10" i="1"/>
  <c r="BK32" i="1"/>
  <c r="E26" i="2"/>
  <c r="BE32" i="1"/>
  <c r="BK20" i="1"/>
  <c r="E18" i="2"/>
  <c r="E64" i="2" s="1"/>
  <c r="BE20" i="1"/>
  <c r="BK7" i="1"/>
  <c r="E9" i="2"/>
  <c r="E55" i="2" s="1"/>
  <c r="BE7" i="1"/>
  <c r="BK31" i="1"/>
  <c r="E25" i="2"/>
  <c r="BE31" i="1"/>
  <c r="BK18" i="1"/>
  <c r="E17" i="2"/>
  <c r="BE18" i="1"/>
  <c r="BK6" i="1"/>
  <c r="E8" i="2"/>
  <c r="BE6" i="1"/>
  <c r="J39" i="2"/>
  <c r="J68" i="2"/>
  <c r="BK29" i="1"/>
  <c r="E24" i="2"/>
  <c r="V29" i="1"/>
  <c r="BE29" i="1" s="1"/>
  <c r="BK17" i="1"/>
  <c r="E16" i="2"/>
  <c r="BE17" i="1"/>
  <c r="BK26" i="1"/>
  <c r="E22" i="2"/>
  <c r="BE26" i="1"/>
  <c r="J37" i="2"/>
  <c r="J63" i="2"/>
  <c r="BO43" i="1"/>
  <c r="BO44" i="1" s="1"/>
  <c r="BK16" i="1"/>
  <c r="E15" i="2"/>
  <c r="E61" i="2" s="1"/>
  <c r="BE16" i="1"/>
  <c r="J36" i="2"/>
  <c r="J62" i="2"/>
  <c r="BK24" i="1"/>
  <c r="E21" i="2"/>
  <c r="BE24" i="1"/>
  <c r="BK11" i="1"/>
  <c r="E12" i="2"/>
  <c r="E58" i="2" s="1"/>
  <c r="BE11" i="1"/>
  <c r="BK23" i="1"/>
  <c r="E20" i="2"/>
  <c r="BE23" i="1"/>
  <c r="BK15" i="1"/>
  <c r="E14" i="2"/>
  <c r="E60" i="2" s="1"/>
  <c r="BE15" i="1"/>
  <c r="BK21" i="1"/>
  <c r="E19" i="2"/>
  <c r="E65" i="2" s="1"/>
  <c r="BE21" i="1"/>
  <c r="BK8" i="1"/>
  <c r="E10" i="2"/>
  <c r="E56" i="2" s="1"/>
  <c r="BE8" i="1"/>
  <c r="E6" i="2"/>
  <c r="BE4" i="1"/>
  <c r="J38" i="2"/>
  <c r="J67" i="2"/>
  <c r="J43" i="2"/>
  <c r="J72" i="2"/>
  <c r="J40" i="2"/>
  <c r="J69" i="2"/>
  <c r="J41" i="2"/>
  <c r="J70" i="2"/>
  <c r="J42" i="2"/>
  <c r="J29" i="2"/>
  <c r="J28" i="2"/>
  <c r="K4" i="1"/>
  <c r="AR4" i="1"/>
  <c r="BK4" i="1"/>
  <c r="AZ13" i="1"/>
  <c r="AY13" i="1"/>
  <c r="AS29" i="1"/>
  <c r="I24" i="2" s="1"/>
  <c r="I70" i="2" s="1"/>
  <c r="AY29" i="1"/>
  <c r="AZ29" i="1"/>
  <c r="AS28" i="1"/>
  <c r="I23" i="2" s="1"/>
  <c r="AY28" i="1"/>
  <c r="AZ28" i="1"/>
  <c r="K10" i="1"/>
  <c r="AO10" i="1" s="1"/>
  <c r="AP10" i="1" s="1"/>
  <c r="H11" i="2" s="1"/>
  <c r="H57" i="2" s="1"/>
  <c r="AR10" i="1"/>
  <c r="K21" i="1"/>
  <c r="AO21" i="1" s="1"/>
  <c r="AP21" i="1" s="1"/>
  <c r="H19" i="2" s="1"/>
  <c r="H65" i="2" s="1"/>
  <c r="AR21" i="1"/>
  <c r="K8" i="1"/>
  <c r="AO8" i="1" s="1"/>
  <c r="AP8" i="1" s="1"/>
  <c r="H10" i="2" s="1"/>
  <c r="H56" i="2" s="1"/>
  <c r="AR8" i="1"/>
  <c r="K26" i="1"/>
  <c r="AO26" i="1" s="1"/>
  <c r="AP26" i="1" s="1"/>
  <c r="H22" i="2" s="1"/>
  <c r="AR26" i="1"/>
  <c r="K7" i="1"/>
  <c r="AO7" i="1" s="1"/>
  <c r="AP7" i="1" s="1"/>
  <c r="H9" i="2" s="1"/>
  <c r="H55" i="2" s="1"/>
  <c r="AR7" i="1"/>
  <c r="K24" i="1"/>
  <c r="AO24" i="1" s="1"/>
  <c r="AP24" i="1" s="1"/>
  <c r="H21" i="2" s="1"/>
  <c r="AR24" i="1"/>
  <c r="K23" i="1"/>
  <c r="AO23" i="1" s="1"/>
  <c r="AP23" i="1" s="1"/>
  <c r="H20" i="2" s="1"/>
  <c r="AR23" i="1"/>
  <c r="K20" i="1"/>
  <c r="AO20" i="1" s="1"/>
  <c r="AP20" i="1" s="1"/>
  <c r="H18" i="2" s="1"/>
  <c r="H64" i="2" s="1"/>
  <c r="AR20" i="1"/>
  <c r="K17" i="1"/>
  <c r="AR17" i="1"/>
  <c r="K16" i="1"/>
  <c r="AO16" i="1" s="1"/>
  <c r="AP16" i="1" s="1"/>
  <c r="H15" i="2" s="1"/>
  <c r="H61" i="2" s="1"/>
  <c r="AR16" i="1"/>
  <c r="K6" i="1"/>
  <c r="AO6" i="1" s="1"/>
  <c r="AP6" i="1" s="1"/>
  <c r="H8" i="2" s="1"/>
  <c r="AR6" i="1"/>
  <c r="K18" i="1"/>
  <c r="AO18" i="1" s="1"/>
  <c r="AP18" i="1" s="1"/>
  <c r="H17" i="2" s="1"/>
  <c r="AR18" i="1"/>
  <c r="K15" i="1"/>
  <c r="AR15" i="1"/>
  <c r="K32" i="1"/>
  <c r="AO32" i="1" s="1"/>
  <c r="AP32" i="1" s="1"/>
  <c r="H26" i="2" s="1"/>
  <c r="AR32" i="1"/>
  <c r="K31" i="1"/>
  <c r="AO31" i="1" s="1"/>
  <c r="AP31" i="1" s="1"/>
  <c r="H25" i="2" s="1"/>
  <c r="AR31" i="1"/>
  <c r="K11" i="1"/>
  <c r="AO11" i="1" s="1"/>
  <c r="AP11" i="1" s="1"/>
  <c r="H12" i="2" s="1"/>
  <c r="H58" i="2" s="1"/>
  <c r="AR11" i="1"/>
  <c r="BE28" i="1" l="1"/>
  <c r="Z28" i="1"/>
  <c r="AL28" i="1"/>
  <c r="AO4" i="1"/>
  <c r="K36" i="1"/>
  <c r="K35" i="1"/>
  <c r="AR39" i="1"/>
  <c r="AR38" i="1"/>
  <c r="AR37" i="1"/>
  <c r="BK37" i="1"/>
  <c r="AO15" i="1"/>
  <c r="K39" i="1"/>
  <c r="K38" i="1"/>
  <c r="AO17" i="1"/>
  <c r="K37" i="1"/>
  <c r="BL44" i="1"/>
  <c r="BK36" i="1"/>
  <c r="BK35" i="1"/>
  <c r="BK39" i="1"/>
  <c r="BK38" i="1"/>
  <c r="AR36" i="1"/>
  <c r="AR35" i="1"/>
  <c r="E72" i="2"/>
  <c r="E43" i="2"/>
  <c r="E36" i="2"/>
  <c r="E62" i="2"/>
  <c r="E54" i="2"/>
  <c r="I40" i="2"/>
  <c r="I69" i="2"/>
  <c r="E38" i="2"/>
  <c r="E67" i="2"/>
  <c r="H37" i="2"/>
  <c r="H63" i="2"/>
  <c r="H39" i="2"/>
  <c r="H68" i="2"/>
  <c r="H54" i="2"/>
  <c r="E70" i="2"/>
  <c r="E41" i="2"/>
  <c r="E37" i="2"/>
  <c r="E63" i="2"/>
  <c r="H42" i="2"/>
  <c r="H71" i="2"/>
  <c r="H43" i="2"/>
  <c r="H72" i="2"/>
  <c r="E39" i="2"/>
  <c r="E68" i="2"/>
  <c r="E69" i="2"/>
  <c r="E40" i="2"/>
  <c r="H38" i="2"/>
  <c r="H67" i="2"/>
  <c r="BP43" i="1"/>
  <c r="BP44" i="1" s="1"/>
  <c r="J30" i="2"/>
  <c r="E71" i="2"/>
  <c r="E42" i="2"/>
  <c r="J74" i="2"/>
  <c r="J75" i="2"/>
  <c r="I41" i="2"/>
  <c r="J46" i="2"/>
  <c r="J47" i="2"/>
  <c r="BH13" i="1"/>
  <c r="BL13" i="1" s="1"/>
  <c r="BF13" i="1"/>
  <c r="AS4" i="1"/>
  <c r="I6" i="2" s="1"/>
  <c r="AY4" i="1"/>
  <c r="AZ4" i="1"/>
  <c r="BF29" i="1"/>
  <c r="BH29" i="1"/>
  <c r="BL29" i="1" s="1"/>
  <c r="BH28" i="1"/>
  <c r="BL28" i="1" s="1"/>
  <c r="BF28" i="1"/>
  <c r="AS21" i="1"/>
  <c r="I19" i="2" s="1"/>
  <c r="I65" i="2" s="1"/>
  <c r="AY21" i="1"/>
  <c r="AZ21" i="1"/>
  <c r="AS10" i="1"/>
  <c r="I11" i="2" s="1"/>
  <c r="I57" i="2" s="1"/>
  <c r="AY10" i="1"/>
  <c r="AZ10" i="1"/>
  <c r="AS18" i="1"/>
  <c r="I17" i="2" s="1"/>
  <c r="AY18" i="1"/>
  <c r="AZ18" i="1"/>
  <c r="AS24" i="1"/>
  <c r="I21" i="2" s="1"/>
  <c r="AY24" i="1"/>
  <c r="AZ24" i="1"/>
  <c r="AS31" i="1"/>
  <c r="I25" i="2" s="1"/>
  <c r="AY31" i="1"/>
  <c r="AZ31" i="1"/>
  <c r="AS20" i="1"/>
  <c r="I18" i="2" s="1"/>
  <c r="I64" i="2" s="1"/>
  <c r="AY20" i="1"/>
  <c r="AZ20" i="1"/>
  <c r="AS17" i="1"/>
  <c r="I16" i="2" s="1"/>
  <c r="AY17" i="1"/>
  <c r="AZ17" i="1"/>
  <c r="AS8" i="1"/>
  <c r="I10" i="2" s="1"/>
  <c r="I56" i="2" s="1"/>
  <c r="AY8" i="1"/>
  <c r="AZ8" i="1"/>
  <c r="AS32" i="1"/>
  <c r="I26" i="2" s="1"/>
  <c r="AZ32" i="1"/>
  <c r="AY32" i="1"/>
  <c r="AS15" i="1"/>
  <c r="I14" i="2" s="1"/>
  <c r="I60" i="2" s="1"/>
  <c r="AZ15" i="1"/>
  <c r="AY15" i="1"/>
  <c r="AS23" i="1"/>
  <c r="I20" i="2" s="1"/>
  <c r="AZ23" i="1"/>
  <c r="AY23" i="1"/>
  <c r="AS6" i="1"/>
  <c r="I8" i="2" s="1"/>
  <c r="I54" i="2" s="1"/>
  <c r="AZ6" i="1"/>
  <c r="AY6" i="1"/>
  <c r="AS7" i="1"/>
  <c r="I9" i="2" s="1"/>
  <c r="I55" i="2" s="1"/>
  <c r="AY7" i="1"/>
  <c r="AZ7" i="1"/>
  <c r="AS11" i="1"/>
  <c r="I12" i="2" s="1"/>
  <c r="I58" i="2" s="1"/>
  <c r="AY11" i="1"/>
  <c r="AZ11" i="1"/>
  <c r="AS16" i="1"/>
  <c r="I15" i="2" s="1"/>
  <c r="I61" i="2" s="1"/>
  <c r="AY16" i="1"/>
  <c r="AZ16" i="1"/>
  <c r="AS26" i="1"/>
  <c r="I22" i="2" s="1"/>
  <c r="AY26" i="1"/>
  <c r="AZ26" i="1"/>
  <c r="AA28" i="1" l="1"/>
  <c r="Z34" i="1"/>
  <c r="AP15" i="1"/>
  <c r="H14" i="2" s="1"/>
  <c r="AO39" i="1"/>
  <c r="AP39" i="1" s="1"/>
  <c r="AO38" i="1"/>
  <c r="AP38" i="1" s="1"/>
  <c r="AP4" i="1"/>
  <c r="H6" i="2" s="1"/>
  <c r="AO35" i="1"/>
  <c r="AP35" i="1" s="1"/>
  <c r="AO36" i="1"/>
  <c r="AP36" i="1" s="1"/>
  <c r="AY37" i="1"/>
  <c r="AZ37" i="1"/>
  <c r="AS37" i="1"/>
  <c r="AS38" i="1"/>
  <c r="AY38" i="1"/>
  <c r="AZ38" i="1"/>
  <c r="AS39" i="1"/>
  <c r="AZ39" i="1"/>
  <c r="AY39" i="1"/>
  <c r="AZ35" i="1"/>
  <c r="AS35" i="1"/>
  <c r="AY35" i="1"/>
  <c r="AP17" i="1"/>
  <c r="H16" i="2" s="1"/>
  <c r="AO37" i="1"/>
  <c r="AP37" i="1" s="1"/>
  <c r="AY36" i="1"/>
  <c r="AZ36" i="1"/>
  <c r="AS36" i="1"/>
  <c r="BQ43" i="1"/>
  <c r="BQ44" i="1" s="1"/>
  <c r="J76" i="2"/>
  <c r="J48" i="2"/>
  <c r="I30" i="2"/>
  <c r="I36" i="2"/>
  <c r="I62" i="2"/>
  <c r="I43" i="2"/>
  <c r="I72" i="2"/>
  <c r="I29" i="2"/>
  <c r="E44" i="2"/>
  <c r="I28" i="2"/>
  <c r="I38" i="2"/>
  <c r="I67" i="2"/>
  <c r="I37" i="2"/>
  <c r="I63" i="2"/>
  <c r="I39" i="2"/>
  <c r="I68" i="2"/>
  <c r="I42" i="2"/>
  <c r="I71" i="2"/>
  <c r="BH26" i="1"/>
  <c r="BL26" i="1" s="1"/>
  <c r="BF26" i="1"/>
  <c r="BH8" i="1"/>
  <c r="BL8" i="1" s="1"/>
  <c r="BF8" i="1"/>
  <c r="BF16" i="1"/>
  <c r="BH16" i="1"/>
  <c r="BL16" i="1" s="1"/>
  <c r="BF17" i="1"/>
  <c r="BH17" i="1"/>
  <c r="BF18" i="1"/>
  <c r="BH18" i="1"/>
  <c r="BL18" i="1" s="1"/>
  <c r="BH23" i="1"/>
  <c r="BL23" i="1" s="1"/>
  <c r="BF23" i="1"/>
  <c r="BF4" i="1"/>
  <c r="BH4" i="1"/>
  <c r="BF11" i="1"/>
  <c r="BH11" i="1"/>
  <c r="BL11" i="1" s="1"/>
  <c r="BF20" i="1"/>
  <c r="BH20" i="1"/>
  <c r="BL20" i="1" s="1"/>
  <c r="BH10" i="1"/>
  <c r="BL10" i="1" s="1"/>
  <c r="BF10" i="1"/>
  <c r="BF15" i="1"/>
  <c r="BH15" i="1"/>
  <c r="BH7" i="1"/>
  <c r="BL7" i="1" s="1"/>
  <c r="BF7" i="1"/>
  <c r="BH31" i="1"/>
  <c r="BL31" i="1" s="1"/>
  <c r="BF31" i="1"/>
  <c r="BF21" i="1"/>
  <c r="BH21" i="1"/>
  <c r="BL21" i="1" s="1"/>
  <c r="BH32" i="1"/>
  <c r="BL32" i="1" s="1"/>
  <c r="BF32" i="1"/>
  <c r="BH24" i="1"/>
  <c r="BL24" i="1" s="1"/>
  <c r="BF24" i="1"/>
  <c r="BF6" i="1"/>
  <c r="BH6" i="1"/>
  <c r="BL6" i="1" s="1"/>
  <c r="AE28" i="1" l="1"/>
  <c r="AE34" i="1" s="1"/>
  <c r="AD34" i="1"/>
  <c r="AB28" i="1"/>
  <c r="AB34" i="1" s="1"/>
  <c r="AA34" i="1"/>
  <c r="AC28" i="1"/>
  <c r="AC34" i="1" s="1"/>
  <c r="H36" i="2"/>
  <c r="H62" i="2"/>
  <c r="BL17" i="1"/>
  <c r="BH37" i="1"/>
  <c r="BL15" i="1"/>
  <c r="BH38" i="1"/>
  <c r="BH39" i="1"/>
  <c r="BL4" i="1"/>
  <c r="BH35" i="1"/>
  <c r="BH36" i="1"/>
  <c r="H60" i="2"/>
  <c r="H30" i="2"/>
  <c r="H29" i="2"/>
  <c r="H28" i="2"/>
  <c r="BR43" i="1"/>
  <c r="BR44" i="1" s="1"/>
  <c r="I74" i="2"/>
  <c r="I75" i="2"/>
  <c r="I46" i="2"/>
  <c r="I47" i="2"/>
  <c r="I76" i="2"/>
  <c r="I48" i="2"/>
  <c r="BL37" i="1" l="1"/>
  <c r="BL35" i="1"/>
  <c r="BL36" i="1"/>
  <c r="BK46" i="1"/>
  <c r="BL39" i="1"/>
  <c r="BL38" i="1"/>
  <c r="H76" i="2"/>
  <c r="H74" i="2"/>
  <c r="H75" i="2"/>
  <c r="H48" i="2"/>
  <c r="H47" i="2"/>
  <c r="H46" i="2"/>
  <c r="BS43" i="1"/>
  <c r="BS44" i="1" s="1"/>
  <c r="BT43" i="1" l="1"/>
  <c r="BT44" i="1" s="1"/>
  <c r="BU43" i="1" l="1"/>
  <c r="BU44" i="1" s="1"/>
  <c r="BV43" i="1" l="1"/>
  <c r="BV44" i="1" s="1"/>
  <c r="BW43" i="1" l="1"/>
  <c r="BW44" i="1" s="1"/>
  <c r="BX43" i="1" l="1"/>
  <c r="BX44" i="1" s="1"/>
  <c r="BY43" i="1" l="1"/>
  <c r="BY44" i="1" s="1"/>
  <c r="BZ43" i="1" l="1"/>
  <c r="BZ44" i="1" s="1"/>
  <c r="CA43" i="1" l="1"/>
  <c r="CA44" i="1" s="1"/>
  <c r="CB43" i="1" l="1"/>
  <c r="CB44" i="1" s="1"/>
  <c r="CC43" i="1" l="1"/>
  <c r="CC44" i="1" s="1"/>
  <c r="CD43" i="1" l="1"/>
  <c r="CD44" i="1" s="1"/>
  <c r="CE43" i="1" l="1"/>
  <c r="CE44" i="1" s="1"/>
  <c r="CF43" i="1" l="1"/>
  <c r="CF44" i="1" s="1"/>
  <c r="CG43" i="1" l="1"/>
  <c r="CG44" i="1" s="1"/>
  <c r="CH43" i="1" l="1"/>
  <c r="CH44" i="1" s="1"/>
  <c r="CI43" i="1" l="1"/>
  <c r="CI44" i="1" s="1"/>
  <c r="CJ43" i="1" l="1"/>
  <c r="CJ44" i="1" s="1"/>
  <c r="CK43" i="1" l="1"/>
  <c r="CK44" i="1" s="1"/>
  <c r="CL43" i="1" l="1"/>
  <c r="CL44" i="1" s="1"/>
  <c r="CM43" i="1" l="1"/>
  <c r="CM44" i="1" s="1"/>
  <c r="CN43" i="1" l="1"/>
  <c r="CN44" i="1" s="1"/>
  <c r="CO43" i="1" l="1"/>
  <c r="CO44" i="1" s="1"/>
  <c r="CP43" i="1" l="1"/>
  <c r="CP44" i="1" s="1"/>
  <c r="CQ43" i="1" l="1"/>
  <c r="CQ44" i="1" s="1"/>
  <c r="CR43" i="1" l="1"/>
  <c r="CR44" i="1" s="1"/>
  <c r="CS43" i="1" l="1"/>
  <c r="CS44" i="1" s="1"/>
  <c r="CT43" i="1"/>
  <c r="CT44" i="1" s="1"/>
  <c r="CU43" i="1" l="1"/>
  <c r="CU44" i="1" s="1"/>
  <c r="CV43" i="1" l="1"/>
  <c r="CV44" i="1" s="1"/>
  <c r="CW43" i="1" l="1"/>
  <c r="CW44" i="1" s="1"/>
  <c r="CX43" i="1" l="1"/>
  <c r="CX44" i="1" s="1"/>
  <c r="CY43" i="1" l="1"/>
  <c r="CY44" i="1" s="1"/>
  <c r="CZ43" i="1" l="1"/>
  <c r="CZ44" i="1" s="1"/>
  <c r="DA43" i="1" l="1"/>
  <c r="DA44" i="1" s="1"/>
  <c r="DB43" i="1" l="1"/>
  <c r="DB44" i="1" s="1"/>
  <c r="DC43" i="1" l="1"/>
  <c r="DC44" i="1" s="1"/>
  <c r="DD43" i="1" l="1"/>
  <c r="DD44" i="1" s="1"/>
  <c r="DE43" i="1" l="1"/>
  <c r="DE44" i="1" s="1"/>
  <c r="DF43" i="1" l="1"/>
  <c r="DF44" i="1" s="1"/>
  <c r="DG43" i="1" l="1"/>
  <c r="DG44" i="1" s="1"/>
  <c r="DH43" i="1" l="1"/>
  <c r="DH44" i="1" s="1"/>
  <c r="DI43" i="1" l="1"/>
  <c r="DI44" i="1" s="1"/>
  <c r="DJ43" i="1" l="1"/>
  <c r="DJ44" i="1" s="1"/>
  <c r="DK43" i="1" l="1"/>
  <c r="DK44" i="1" s="1"/>
  <c r="DL43" i="1" l="1"/>
  <c r="DL44" i="1" s="1"/>
  <c r="DM43" i="1" l="1"/>
  <c r="DM44" i="1" s="1"/>
  <c r="DN43" i="1" l="1"/>
  <c r="DN44" i="1" s="1"/>
  <c r="DO43" i="1" l="1"/>
  <c r="DO44" i="1" s="1"/>
  <c r="DP43" i="1" l="1"/>
  <c r="DP44" i="1" s="1"/>
  <c r="DQ43" i="1" l="1"/>
  <c r="DQ44" i="1" s="1"/>
  <c r="DR43" i="1" l="1"/>
  <c r="DR44" i="1" s="1"/>
  <c r="DS43" i="1" l="1"/>
  <c r="DS44" i="1" s="1"/>
  <c r="DT43" i="1" l="1"/>
  <c r="DT44" i="1" s="1"/>
  <c r="DU43" i="1" l="1"/>
  <c r="DU44" i="1" s="1"/>
  <c r="DV43" i="1" l="1"/>
  <c r="DV44" i="1" s="1"/>
  <c r="DW43" i="1" l="1"/>
  <c r="DW44" i="1" s="1"/>
  <c r="DX43" i="1" l="1"/>
  <c r="DX44" i="1" s="1"/>
  <c r="DY43" i="1" l="1"/>
  <c r="DY44" i="1" s="1"/>
  <c r="DZ43" i="1" l="1"/>
  <c r="DZ44" i="1" s="1"/>
  <c r="EA43" i="1" l="1"/>
  <c r="EA44" i="1" s="1"/>
  <c r="EB43" i="1" l="1"/>
  <c r="EB44" i="1" s="1"/>
  <c r="EC43" i="1" l="1"/>
  <c r="EC44" i="1" s="1"/>
  <c r="ED43" i="1" l="1"/>
  <c r="ED44" i="1" s="1"/>
  <c r="EE43" i="1" l="1"/>
  <c r="EE44" i="1" s="1"/>
  <c r="EF43" i="1" l="1"/>
  <c r="EF44" i="1" s="1"/>
  <c r="EG43" i="1" l="1"/>
  <c r="EG44" i="1" s="1"/>
  <c r="EH43" i="1" l="1"/>
  <c r="EH44" i="1" s="1"/>
  <c r="EI43" i="1" l="1"/>
  <c r="EI44" i="1" s="1"/>
  <c r="EJ43" i="1" l="1"/>
  <c r="EJ44" i="1" s="1"/>
  <c r="EK43" i="1" l="1"/>
  <c r="EK44" i="1" s="1"/>
  <c r="EL43" i="1" l="1"/>
  <c r="EL44" i="1" s="1"/>
  <c r="EM43" i="1" l="1"/>
  <c r="EM44" i="1" s="1"/>
  <c r="EN43" i="1" l="1"/>
  <c r="EN44" i="1" s="1"/>
  <c r="EO43" i="1" l="1"/>
  <c r="EO44" i="1" s="1"/>
  <c r="EP43" i="1" l="1"/>
  <c r="EP44" i="1" s="1"/>
  <c r="EQ43" i="1" l="1"/>
  <c r="EQ44" i="1" s="1"/>
  <c r="ER43" i="1" l="1"/>
  <c r="ER44" i="1" s="1"/>
  <c r="ES43" i="1" l="1"/>
  <c r="ES44" i="1" s="1"/>
  <c r="ET43" i="1" l="1"/>
  <c r="ET44" i="1" s="1"/>
  <c r="EU43" i="1" l="1"/>
  <c r="EU44" i="1" s="1"/>
  <c r="EV43" i="1" l="1"/>
  <c r="EV44" i="1" s="1"/>
  <c r="EW43" i="1" l="1"/>
  <c r="EW44" i="1" s="1"/>
  <c r="EX43" i="1" l="1"/>
  <c r="EX44" i="1" l="1"/>
  <c r="BK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tc={86840900-F2CB-4440-87A0-0F1C6C3DBD02}</author>
    <author>tc={99990879-B772-440B-AD8E-E66EDD41B67E}</author>
    <author>tc={8BF5E017-9609-4ACC-B23F-274BE20533BA}</author>
    <author>tc={33F9526E-D60D-47B1-AC91-CD585B4A0CD7}</author>
    <author>tc={E974246D-C27A-483D-A188-3E684810EF16}</author>
  </authors>
  <commentList>
    <comment ref="B4" authorId="0" shapeId="0" xr:uid="{86840900-F2CB-4440-87A0-0F1C6C3DBD02}">
      <text>
        <t>[Threaded comment]
Your version of Excel allows you to read this threaded comment; however, any edits to it will get removed if the file is opened in a newer version of Excel. Learn more: https://go.microsoft.com/fwlink/?linkid=870924
Comment:
    Juntamos as duas linhas de Bluefit em uma só, dado que já sabemos o valor final do earnout (que correspondia à segunda linha)</t>
      </text>
    </comment>
    <comment ref="BB6" authorId="1" shapeId="0" xr:uid="{99990879-B772-440B-AD8E-E66EDD41B6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Valor da troca de ações
</t>
      </text>
    </comment>
    <comment ref="R23" authorId="2" shapeId="0" xr:uid="{8BF5E017-9609-4ACC-B23F-274BE20533B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Informações de Receita e EBITDA consideram números operacionais da empresa, ou seja, receita de SaaS e serviços; desconsiderando o resultado financeiro da carteira de crédito.</t>
      </text>
    </comment>
    <comment ref="J28" authorId="3" shapeId="0" xr:uid="{33F9526E-D60D-47B1-AC91-CD585B4A0CD7}">
      <text>
        <t>[Threaded comment]
Your version of Excel allows you to read this threaded comment; however, any edits to it will get removed if the file is opened in a newer version of Excel. Learn more: https://go.microsoft.com/fwlink/?linkid=870924
Comment:
    Debênture a ser convertida no ano que vem a 5x EBITDA LTM</t>
      </text>
    </comment>
    <comment ref="J57" authorId="4" shapeId="0" xr:uid="{E974246D-C27A-483D-A188-3E684810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Juntamos as duas linhas de Bluefit em uma só, dado que já sabemos o valor final do earnout (que correspondia à segunda linha)</t>
      </text>
    </comment>
  </commentList>
</comments>
</file>

<file path=xl/sharedStrings.xml><?xml version="1.0" encoding="utf-8"?>
<sst xmlns="http://schemas.openxmlformats.org/spreadsheetml/2006/main" count="530" uniqueCount="105">
  <si>
    <t>Ref. Date</t>
  </si>
  <si>
    <t>Investment</t>
  </si>
  <si>
    <t>Date</t>
  </si>
  <si>
    <t>Cost @FX</t>
  </si>
  <si>
    <t>FX</t>
  </si>
  <si>
    <t>Cost @BRL</t>
  </si>
  <si>
    <t>Stake</t>
  </si>
  <si>
    <t>Entry-EqV (post money R$)</t>
  </si>
  <si>
    <t>Entry Rev.</t>
  </si>
  <si>
    <t>Entry EBITDA</t>
  </si>
  <si>
    <t>Entry Debt</t>
  </si>
  <si>
    <t>Current Rev</t>
  </si>
  <si>
    <t>Current EBITDA</t>
  </si>
  <si>
    <t>Current Debt (net)</t>
  </si>
  <si>
    <t>Current Stake</t>
  </si>
  <si>
    <t>Entry EV</t>
  </si>
  <si>
    <t>EV/Rev</t>
  </si>
  <si>
    <t>Entry EV            (Dilution Adjusted)</t>
  </si>
  <si>
    <t>Revenue  CAGR</t>
  </si>
  <si>
    <t>EV/Rev CAGR Adjusted</t>
  </si>
  <si>
    <t>EV/Current EBITDA</t>
  </si>
  <si>
    <t>Fair EV/Receita</t>
  </si>
  <si>
    <t>Implicit EV/EBITDA</t>
  </si>
  <si>
    <t>MOIC</t>
  </si>
  <si>
    <t>TIR</t>
  </si>
  <si>
    <t>Bluefit</t>
  </si>
  <si>
    <t>R$</t>
  </si>
  <si>
    <t>N/A</t>
  </si>
  <si>
    <t>Now part of Moove Inc.</t>
  </si>
  <si>
    <t>Kovi 1</t>
  </si>
  <si>
    <t>USD</t>
  </si>
  <si>
    <t>Kovi 2</t>
  </si>
  <si>
    <t>Kovi 3</t>
  </si>
  <si>
    <t>The Coffee 1</t>
  </si>
  <si>
    <t>The Coffee 2</t>
  </si>
  <si>
    <t>Atlas Agro</t>
  </si>
  <si>
    <t>Skelt 1</t>
  </si>
  <si>
    <t>Skelt 2</t>
  </si>
  <si>
    <t>Skelt 3</t>
  </si>
  <si>
    <t>Skelt 4</t>
  </si>
  <si>
    <t>Paketá 1</t>
  </si>
  <si>
    <t>Paketá 2</t>
  </si>
  <si>
    <t>TerraMagna 1</t>
  </si>
  <si>
    <t>TerraMagna 2</t>
  </si>
  <si>
    <t>Zerezes</t>
  </si>
  <si>
    <t>Regera 1</t>
  </si>
  <si>
    <t>TBD</t>
  </si>
  <si>
    <t>Regera 2</t>
  </si>
  <si>
    <t>Acquion 1</t>
  </si>
  <si>
    <t>Acquion 2</t>
  </si>
  <si>
    <t>Notes:</t>
  </si>
  <si>
    <t>Fluxo</t>
  </si>
  <si>
    <t>Atualizamos faturamento e EBITDA das empresas baseado na performance YTD, com base em setembro</t>
  </si>
  <si>
    <t>Juntamos Bluefit em apenas uma linha pois agora estamos com bastante visibilidade sobre o earnout</t>
  </si>
  <si>
    <t>Ajustamos as informações de Receita e EBITDA da TerraMagna, considerando apenas os números operacionais da empresa, ou seja, receita de SaaS e serviços; desconsiderando o resultado financeiro da carteira de crédito e cota subordinada.</t>
  </si>
  <si>
    <t>A Debênture de Regera será convertida no ano que vem a 5x EBITDA LTM, portanto refletimos isso</t>
  </si>
  <si>
    <t>x</t>
  </si>
  <si>
    <t>Todos os Deals (Contas Excluem Bluefit)</t>
  </si>
  <si>
    <t>BRL '000</t>
  </si>
  <si>
    <t>Stake Entrada</t>
  </si>
  <si>
    <t>Stake Hoje</t>
  </si>
  <si>
    <t>Empresa</t>
  </si>
  <si>
    <t>Data Investimento</t>
  </si>
  <si>
    <t>Custo</t>
  </si>
  <si>
    <t>Receita</t>
  </si>
  <si>
    <t>EBITDA</t>
  </si>
  <si>
    <t>EV/Receita</t>
  </si>
  <si>
    <t>Rev. CAGR</t>
  </si>
  <si>
    <t>Type</t>
  </si>
  <si>
    <t>Co-Inv</t>
  </si>
  <si>
    <t>Fund</t>
  </si>
  <si>
    <t>Média</t>
  </si>
  <si>
    <t>Mediana</t>
  </si>
  <si>
    <t>Media Ponderada</t>
  </si>
  <si>
    <t>Somente Fundo</t>
  </si>
  <si>
    <t>Total</t>
  </si>
  <si>
    <t>Excludindo Bluefit e TerraMagna 1 ("outliers")</t>
  </si>
  <si>
    <t>Me prepara uma tabela com todos os deals q fizeram, data, cheque pago, multiplo ebitda ou receita pago, receita na aquisicao CAGR desde a aquisicao e marcacao atual dos ativos</t>
  </si>
  <si>
    <t>vai me ajudar a entender eles pro almoco. </t>
  </si>
  <si>
    <t>On/Off Fundo I</t>
  </si>
  <si>
    <t>Pocket</t>
  </si>
  <si>
    <t>Co-Invest</t>
  </si>
  <si>
    <t>Alpha I</t>
  </si>
  <si>
    <t>Subtotal</t>
  </si>
  <si>
    <t>-</t>
  </si>
  <si>
    <t>Exit Value</t>
  </si>
  <si>
    <t>Selected - Cost</t>
  </si>
  <si>
    <t>Selected - Exit Value</t>
  </si>
  <si>
    <t>Deal by Deal</t>
  </si>
  <si>
    <t>EV</t>
  </si>
  <si>
    <t>EV/EBITDA</t>
  </si>
  <si>
    <t>8x EBITDA 2025</t>
  </si>
  <si>
    <t>Valuation fusão</t>
  </si>
  <si>
    <t>valuation abaixo de proposta atual</t>
  </si>
  <si>
    <t>10x EBITDA 2025</t>
  </si>
  <si>
    <t>valuation da proposta atual de M&amp;A</t>
  </si>
  <si>
    <t>third party evaluation</t>
  </si>
  <si>
    <t>marcado a custo</t>
  </si>
  <si>
    <t>Equity Value</t>
  </si>
  <si>
    <t>AB - Marcações</t>
  </si>
  <si>
    <t>Comentários</t>
  </si>
  <si>
    <t>AB - Marcações Mercado</t>
  </si>
  <si>
    <t>NAV Relatri - Total</t>
  </si>
  <si>
    <t>NAV Relatri - Stake</t>
  </si>
  <si>
    <t>Equity Value - Stake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</si>
</sst>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%"/>
    <numFmt numFmtId="165" formatCode="0.0%;\(0.0%\);&quot;-&quot;"/>
    <numFmt numFmtId="166" formatCode="&quot;R$&quot;#,##0&quot;m&quot;;\(&quot;R$&quot;#,##0&quot;m&quot;\)"/>
    <numFmt numFmtId="167" formatCode="#,##0&quot;m&quot;;\(#,##0&quot;m&quot;\)"/>
    <numFmt numFmtId="168" formatCode="0.0&quot;m&quot;"/>
    <numFmt numFmtId="169" formatCode="0.0"/>
    <numFmt numFmtId="170" formatCode="0.0\x"/>
    <numFmt numFmtId="171" formatCode="0.00\x"/>
    <numFmt numFmtId="172" formatCode="&quot;R$&quot;\ #,##0.00"/>
    <numFmt numFmtId="173" formatCode="&quot;R$&quot;#,##0.0&quot;m&quot;;\(&quot;R$&quot;#,##0.0&quot;m&quot;\)"/>
    <numFmt numFmtId="175" formatCode="_-* #,##0.0\x_-;\-* #,##0.0\x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70C0"/>
      <name val="Calibri"/>
      <family val="2"/>
    </font>
    <font>
      <b/>
      <sz val="11"/>
      <color rgb="FF182FA4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2973BD"/>
      <name val="Aptos Narrow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70C0"/>
      <name val="Calibri"/>
      <family val="2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horizontal="left" vertical="center"/>
    </xf>
    <xf numFmtId="1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11" fillId="0" borderId="0" xfId="0" applyNumberFormat="1" applyFont="1"/>
    <xf numFmtId="165" fontId="10" fillId="0" borderId="0" xfId="1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0" fillId="0" borderId="0" xfId="1" applyNumberFormat="1" applyFont="1"/>
    <xf numFmtId="17" fontId="11" fillId="2" borderId="0" xfId="0" applyNumberFormat="1" applyFont="1" applyFill="1"/>
    <xf numFmtId="165" fontId="11" fillId="0" borderId="0" xfId="1" applyNumberFormat="1" applyFont="1" applyBorder="1" applyAlignment="1">
      <alignment horizontal="center" vertical="center" wrapText="1" readingOrder="1"/>
    </xf>
    <xf numFmtId="165" fontId="11" fillId="0" borderId="0" xfId="1" applyNumberFormat="1" applyFont="1" applyFill="1" applyBorder="1" applyAlignment="1">
      <alignment horizontal="center" vertical="center" wrapText="1" readingOrder="1"/>
    </xf>
    <xf numFmtId="165" fontId="11" fillId="0" borderId="0" xfId="0" applyNumberFormat="1" applyFont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1" fillId="2" borderId="0" xfId="1" applyNumberFormat="1" applyFont="1" applyFill="1" applyBorder="1" applyAlignment="1">
      <alignment horizontal="center" vertical="center"/>
    </xf>
    <xf numFmtId="168" fontId="0" fillId="0" borderId="0" xfId="0" applyNumberFormat="1"/>
    <xf numFmtId="168" fontId="12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1" fillId="0" borderId="0" xfId="0" applyNumberFormat="1" applyFont="1" applyAlignment="1">
      <alignment horizontal="center"/>
    </xf>
    <xf numFmtId="4" fontId="0" fillId="0" borderId="0" xfId="0" applyNumberFormat="1" applyAlignment="1">
      <alignment horizontal="left"/>
    </xf>
    <xf numFmtId="0" fontId="14" fillId="0" borderId="0" xfId="0" applyFont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9" fontId="11" fillId="2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9" fillId="0" borderId="0" xfId="0" applyFont="1"/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wrapText="1"/>
    </xf>
    <xf numFmtId="166" fontId="9" fillId="0" borderId="0" xfId="0" applyNumberFormat="1" applyFont="1" applyAlignment="1">
      <alignment horizontal="center" vertical="center" wrapText="1"/>
    </xf>
    <xf numFmtId="171" fontId="0" fillId="0" borderId="0" xfId="0" applyNumberFormat="1" applyAlignment="1">
      <alignment horizontal="center"/>
    </xf>
    <xf numFmtId="171" fontId="0" fillId="0" borderId="0" xfId="0" applyNumberFormat="1"/>
    <xf numFmtId="171" fontId="1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72" fontId="0" fillId="0" borderId="0" xfId="0" applyNumberFormat="1"/>
    <xf numFmtId="17" fontId="2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166" fontId="0" fillId="0" borderId="0" xfId="0" applyNumberFormat="1"/>
    <xf numFmtId="164" fontId="0" fillId="0" borderId="0" xfId="0" applyNumberFormat="1" applyAlignment="1">
      <alignment horizontal="center"/>
    </xf>
    <xf numFmtId="171" fontId="9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16" fillId="0" borderId="0" xfId="0" applyFont="1" applyAlignment="1">
      <alignment vertical="center" wrapText="1" readingOrder="1"/>
    </xf>
    <xf numFmtId="0" fontId="16" fillId="0" borderId="0" xfId="0" applyFont="1" applyAlignment="1">
      <alignment vertical="center" readingOrder="1"/>
    </xf>
    <xf numFmtId="0" fontId="15" fillId="4" borderId="0" xfId="0" applyFont="1" applyFill="1" applyAlignment="1">
      <alignment vertical="top" wrapText="1"/>
    </xf>
    <xf numFmtId="4" fontId="15" fillId="4" borderId="0" xfId="0" applyNumberFormat="1" applyFont="1" applyFill="1" applyAlignment="1">
      <alignment horizontal="center" vertical="top" wrapText="1"/>
    </xf>
    <xf numFmtId="165" fontId="10" fillId="4" borderId="0" xfId="1" applyNumberFormat="1" applyFont="1" applyFill="1" applyBorder="1" applyAlignment="1">
      <alignment horizontal="center" vertical="top" wrapText="1"/>
    </xf>
    <xf numFmtId="0" fontId="15" fillId="4" borderId="0" xfId="0" applyFont="1" applyFill="1" applyAlignment="1">
      <alignment horizontal="center" vertical="top" wrapText="1"/>
    </xf>
    <xf numFmtId="0" fontId="15" fillId="4" borderId="0" xfId="0" applyFont="1" applyFill="1"/>
    <xf numFmtId="0" fontId="15" fillId="4" borderId="0" xfId="0" applyFont="1" applyFill="1" applyAlignment="1">
      <alignment horizontal="center"/>
    </xf>
    <xf numFmtId="168" fontId="15" fillId="4" borderId="0" xfId="0" applyNumberFormat="1" applyFont="1" applyFill="1" applyAlignment="1">
      <alignment horizontal="center" vertical="top" wrapText="1"/>
    </xf>
    <xf numFmtId="0" fontId="0" fillId="3" borderId="0" xfId="0" applyFill="1"/>
    <xf numFmtId="170" fontId="0" fillId="3" borderId="0" xfId="0" applyNumberForma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5" borderId="0" xfId="0" applyFont="1" applyFill="1"/>
    <xf numFmtId="17" fontId="6" fillId="5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70" fontId="15" fillId="0" borderId="0" xfId="0" applyNumberFormat="1" applyFont="1" applyAlignment="1">
      <alignment horizontal="center"/>
    </xf>
    <xf numFmtId="164" fontId="15" fillId="0" borderId="0" xfId="1" applyNumberFormat="1" applyFont="1" applyAlignment="1">
      <alignment horizontal="center"/>
    </xf>
    <xf numFmtId="17" fontId="17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73" fontId="9" fillId="0" borderId="0" xfId="0" applyNumberFormat="1" applyFont="1"/>
    <xf numFmtId="173" fontId="10" fillId="4" borderId="0" xfId="0" applyNumberFormat="1" applyFont="1" applyFill="1" applyAlignment="1">
      <alignment horizontal="center" vertical="top" wrapText="1"/>
    </xf>
    <xf numFmtId="173" fontId="9" fillId="0" borderId="0" xfId="0" applyNumberFormat="1" applyFont="1" applyAlignment="1">
      <alignment horizontal="center" vertical="center"/>
    </xf>
    <xf numFmtId="173" fontId="9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3" fontId="9" fillId="0" borderId="0" xfId="0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171" fontId="15" fillId="0" borderId="0" xfId="0" applyNumberFormat="1" applyFont="1" applyAlignment="1">
      <alignment horizontal="center"/>
    </xf>
    <xf numFmtId="9" fontId="9" fillId="0" borderId="0" xfId="0" applyNumberFormat="1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0" fillId="0" borderId="0" xfId="0" applyNumberFormat="1" applyAlignment="1">
      <alignment horizontal="right"/>
    </xf>
    <xf numFmtId="175" fontId="0" fillId="0" borderId="0" xfId="4" applyNumberFormat="1" applyFont="1"/>
    <xf numFmtId="175" fontId="0" fillId="0" borderId="0" xfId="4" applyNumberFormat="1" applyFont="1" applyAlignment="1">
      <alignment horizontal="right"/>
    </xf>
    <xf numFmtId="0" fontId="18" fillId="6" borderId="0" xfId="0" applyFont="1" applyFill="1" applyAlignment="1">
      <alignment horizontal="center" vertical="top" wrapText="1"/>
    </xf>
    <xf numFmtId="4" fontId="0" fillId="7" borderId="0" xfId="0" applyNumberFormat="1" applyFill="1" applyAlignment="1">
      <alignment horizontal="right"/>
    </xf>
    <xf numFmtId="175" fontId="0" fillId="7" borderId="0" xfId="4" applyNumberFormat="1" applyFont="1" applyFill="1" applyAlignment="1">
      <alignment horizontal="right"/>
    </xf>
    <xf numFmtId="4" fontId="0" fillId="7" borderId="0" xfId="0" applyNumberFormat="1" applyFill="1"/>
    <xf numFmtId="4" fontId="15" fillId="0" borderId="0" xfId="0" applyNumberFormat="1" applyFont="1"/>
    <xf numFmtId="9" fontId="0" fillId="7" borderId="0" xfId="0" applyNumberFormat="1" applyFill="1"/>
    <xf numFmtId="169" fontId="0" fillId="0" borderId="0" xfId="0" applyNumberFormat="1"/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0" fontId="0" fillId="0" borderId="0" xfId="0" applyNumberFormat="1" applyAlignment="1">
      <alignment horizontal="center"/>
    </xf>
  </cellXfs>
  <cellStyles count="5">
    <cellStyle name="Comma" xfId="4" builtinId="3"/>
    <cellStyle name="Comma 2" xfId="2" xr:uid="{62ABC75B-31C9-4C68-9227-FB5C585E0727}"/>
    <cellStyle name="Normal" xfId="0" builtinId="0"/>
    <cellStyle name="Normal 2" xfId="3" xr:uid="{72905EE6-C899-4EDD-9AF4-6CFF57A27127}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heus Leone | Spectra Investimentos" id="{6F591626-8D6D-455D-9CF6-E6556C140E8C}" userId="S::mleone@spectrainvest.com::c512406d-efa6-4743-9f15-f71b664ccf00" providerId="AD"/>
  <person displayName="Felipe Tokarski" id="{BFEDA60E-6197-4CB8-9B26-EE527B69450A}" userId="S::felipe.tokarski@shiftcapital.com.br::8e3b97c0-fd77-4f17-8dfc-40ef5b809b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11-12T16:06:23.15" personId="{BFEDA60E-6197-4CB8-9B26-EE527B69450A}" id="{86840900-F2CB-4440-87A0-0F1C6C3DBD02}">
    <text>Juntamos as duas linhas de Bluefit em uma só, dado que já sabemos o valor final do earnout (que correspondia à segunda linha)</text>
  </threadedComment>
  <threadedComment ref="BB6" dT="2025-11-13T22:25:24.37" personId="{6F591626-8D6D-455D-9CF6-E6556C140E8C}" id="{99990879-B772-440B-AD8E-E66EDD41B67E}">
    <text xml:space="preserve">Valor da troca de ações
</text>
  </threadedComment>
  <threadedComment ref="R23" dT="2025-11-12T16:42:12.03" personId="{BFEDA60E-6197-4CB8-9B26-EE527B69450A}" id="{8BF5E017-9609-4ACC-B23F-274BE20533BA}">
    <text>Informações de Receita e EBITDA consideram números operacionais da empresa, ou seja, receita de SaaS e serviços; desconsiderando o resultado financeiro da carteira de crédito.</text>
  </threadedComment>
  <threadedComment ref="J28" dT="2025-11-12T16:44:53.95" personId="{BFEDA60E-6197-4CB8-9B26-EE527B69450A}" id="{33F9526E-D60D-47B1-AC91-CD585B4A0CD7}">
    <text>Debênture a ser convertida no ano que vem a 5x EBITDA LTM</text>
  </threadedComment>
  <threadedComment ref="J57" dT="2025-11-12T16:06:23.15" personId="{BFEDA60E-6197-4CB8-9B26-EE527B69450A}" id="{E974246D-C27A-483D-A188-3E684810EF16}">
    <text>Juntamos as duas linhas de Bluefit em uma só, dado que já sabemos o valor final do earnout (que correspondia à segunda linha)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D14A-9503-48C3-8CB3-F1EAF7F30EA3}">
  <dimension ref="C4:C6"/>
  <sheetViews>
    <sheetView workbookViewId="0">
      <selection activeCell="C8" sqref="C8"/>
    </sheetView>
  </sheetViews>
  <sheetFormatPr defaultRowHeight="14.5" x14ac:dyDescent="0.35"/>
  <cols>
    <col min="3" max="3" width="128.26953125" customWidth="1"/>
  </cols>
  <sheetData>
    <row r="4" spans="3:3" ht="29" x14ac:dyDescent="0.35">
      <c r="C4" s="51" t="s">
        <v>77</v>
      </c>
    </row>
    <row r="6" spans="3:3" x14ac:dyDescent="0.35">
      <c r="C6" s="5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882C-1F4B-4EE4-B1A0-15BC1F2E9FD8}">
  <dimension ref="A1:FI62"/>
  <sheetViews>
    <sheetView showGridLines="0" tabSelected="1" zoomScale="70" zoomScaleNormal="70" workbookViewId="0">
      <pane xSplit="3" ySplit="3" topLeftCell="R4" activePane="bottomRight" state="frozen"/>
      <selection pane="topRight" activeCell="D1" sqref="D1"/>
      <selection pane="bottomLeft" activeCell="A4" sqref="A4"/>
      <selection pane="bottomRight" activeCell="AA17" sqref="AA17"/>
    </sheetView>
  </sheetViews>
  <sheetFormatPr defaultRowHeight="14.5" outlineLevelCol="1" x14ac:dyDescent="0.35"/>
  <cols>
    <col min="1" max="1" width="11" customWidth="1"/>
    <col min="2" max="2" width="12.453125" bestFit="1" customWidth="1"/>
    <col min="3" max="3" width="2.54296875" customWidth="1"/>
    <col min="5" max="5" width="9.54296875" style="23" hidden="1" customWidth="1" outlineLevel="1"/>
    <col min="6" max="7" width="8.7265625" hidden="1" customWidth="1" outlineLevel="1"/>
    <col min="8" max="8" width="8.7265625" style="9" hidden="1" customWidth="1" outlineLevel="1"/>
    <col min="9" max="9" width="10.453125" style="73" customWidth="1" collapsed="1"/>
    <col min="10" max="10" width="8.7265625" customWidth="1" outlineLevel="1"/>
    <col min="11" max="11" width="21.1796875" style="10" customWidth="1" outlineLevel="1"/>
    <col min="12" max="12" width="11.81640625" style="10" bestFit="1" customWidth="1" outlineLevel="1"/>
    <col min="13" max="13" width="8.7265625" customWidth="1" outlineLevel="1"/>
    <col min="14" max="14" width="9.81640625" bestFit="1" customWidth="1" outlineLevel="1"/>
    <col min="15" max="16" width="11.1796875" style="26" customWidth="1" outlineLevel="1"/>
    <col min="17" max="17" width="8.7265625" customWidth="1" outlineLevel="1"/>
    <col min="18" max="18" width="11.453125" bestFit="1" customWidth="1" outlineLevel="1"/>
    <col min="19" max="19" width="13.453125" customWidth="1" outlineLevel="1"/>
    <col min="20" max="20" width="15.453125" style="26" customWidth="1" outlineLevel="1"/>
    <col min="21" max="21" width="4.453125" customWidth="1" outlineLevel="1"/>
    <col min="22" max="22" width="12" customWidth="1" outlineLevel="1"/>
    <col min="23" max="23" width="4" customWidth="1" outlineLevel="1"/>
    <col min="24" max="27" width="8.7265625" customWidth="1" outlineLevel="1"/>
    <col min="28" max="29" width="10" customWidth="1" outlineLevel="1"/>
    <col min="30" max="30" width="8.26953125" bestFit="1" customWidth="1" outlineLevel="1"/>
    <col min="31" max="31" width="6.54296875" bestFit="1" customWidth="1" outlineLevel="1"/>
    <col min="32" max="32" width="6.54296875" customWidth="1" outlineLevel="1"/>
    <col min="33" max="34" width="8.7265625" customWidth="1" outlineLevel="1"/>
    <col min="35" max="36" width="10" customWidth="1" outlineLevel="1"/>
    <col min="37" max="37" width="29.453125" bestFit="1" customWidth="1" outlineLevel="1"/>
    <col min="38" max="39" width="8.7265625" customWidth="1" outlineLevel="1"/>
    <col min="40" max="40" width="2.54296875" customWidth="1"/>
    <col min="41" max="41" width="11.453125" style="34" bestFit="1" customWidth="1"/>
    <col min="42" max="42" width="8.7265625" style="26"/>
    <col min="43" max="43" width="2.54296875" customWidth="1" collapsed="1"/>
    <col min="44" max="44" width="16.1796875" style="34" bestFit="1" customWidth="1"/>
    <col min="45" max="45" width="8.7265625" style="26"/>
    <col min="46" max="46" width="2.54296875" customWidth="1" collapsed="1"/>
    <col min="48" max="48" width="10" style="36" bestFit="1" customWidth="1"/>
    <col min="49" max="49" width="9.81640625" style="36" bestFit="1" customWidth="1"/>
    <col min="50" max="50" width="2.54296875" customWidth="1" collapsed="1"/>
    <col min="52" max="52" width="10.54296875" customWidth="1"/>
    <col min="53" max="53" width="2.54296875" customWidth="1"/>
    <col min="54" max="55" width="10.54296875" customWidth="1"/>
    <col min="56" max="56" width="2.54296875" customWidth="1"/>
    <col min="60" max="60" width="9.81640625" bestFit="1" customWidth="1"/>
    <col min="64" max="64" width="10.26953125" bestFit="1" customWidth="1"/>
  </cols>
  <sheetData>
    <row r="1" spans="1:64" x14ac:dyDescent="0.35">
      <c r="A1" t="s">
        <v>0</v>
      </c>
      <c r="B1" s="15">
        <v>45901</v>
      </c>
      <c r="AN1" s="34"/>
    </row>
    <row r="2" spans="1:64" x14ac:dyDescent="0.35">
      <c r="Y2" s="64" t="s">
        <v>99</v>
      </c>
      <c r="Z2" s="64" t="s">
        <v>99</v>
      </c>
      <c r="AG2" s="64" t="s">
        <v>101</v>
      </c>
    </row>
    <row r="3" spans="1:64" ht="40" customHeight="1" x14ac:dyDescent="0.35">
      <c r="B3" s="53" t="s">
        <v>1</v>
      </c>
      <c r="C3" s="53"/>
      <c r="D3" s="56" t="s">
        <v>2</v>
      </c>
      <c r="E3" s="59" t="s">
        <v>3</v>
      </c>
      <c r="F3" s="56"/>
      <c r="G3" s="56"/>
      <c r="H3" s="54" t="s">
        <v>4</v>
      </c>
      <c r="I3" s="74" t="s">
        <v>5</v>
      </c>
      <c r="J3" s="55" t="s">
        <v>6</v>
      </c>
      <c r="K3" s="54" t="s">
        <v>7</v>
      </c>
      <c r="L3" s="54" t="s">
        <v>80</v>
      </c>
      <c r="M3" s="26"/>
      <c r="N3" s="56" t="s">
        <v>8</v>
      </c>
      <c r="O3" s="56" t="s">
        <v>9</v>
      </c>
      <c r="P3" s="56" t="s">
        <v>10</v>
      </c>
      <c r="Q3" s="26"/>
      <c r="R3" s="56" t="s">
        <v>11</v>
      </c>
      <c r="S3" s="56" t="s">
        <v>12</v>
      </c>
      <c r="T3" s="56" t="s">
        <v>13</v>
      </c>
      <c r="U3" s="56"/>
      <c r="V3" s="56" t="s">
        <v>14</v>
      </c>
      <c r="Y3" s="96" t="s">
        <v>103</v>
      </c>
      <c r="Z3" s="96" t="s">
        <v>102</v>
      </c>
      <c r="AA3" s="96" t="s">
        <v>89</v>
      </c>
      <c r="AB3" s="96" t="s">
        <v>90</v>
      </c>
      <c r="AC3" s="96" t="s">
        <v>66</v>
      </c>
      <c r="AD3" s="96" t="s">
        <v>23</v>
      </c>
      <c r="AE3" s="96" t="s">
        <v>24</v>
      </c>
      <c r="AG3" s="96" t="s">
        <v>98</v>
      </c>
      <c r="AH3" s="96" t="s">
        <v>89</v>
      </c>
      <c r="AI3" s="96" t="s">
        <v>90</v>
      </c>
      <c r="AJ3" s="96" t="s">
        <v>66</v>
      </c>
      <c r="AK3" s="96" t="s">
        <v>100</v>
      </c>
      <c r="AL3" s="96" t="s">
        <v>104</v>
      </c>
      <c r="AO3" s="56" t="s">
        <v>15</v>
      </c>
      <c r="AP3" s="56" t="s">
        <v>16</v>
      </c>
      <c r="AQ3" s="56"/>
      <c r="AR3" s="56" t="s">
        <v>17</v>
      </c>
      <c r="AS3" s="56" t="s">
        <v>16</v>
      </c>
      <c r="AT3" s="56"/>
      <c r="AU3" s="56" t="s">
        <v>18</v>
      </c>
      <c r="AV3" s="56" t="s">
        <v>9</v>
      </c>
      <c r="AW3" s="56" t="s">
        <v>12</v>
      </c>
      <c r="AX3" s="56"/>
      <c r="AY3" s="56" t="s">
        <v>19</v>
      </c>
      <c r="AZ3" s="56" t="s">
        <v>20</v>
      </c>
      <c r="BA3" s="56"/>
      <c r="BB3" s="56" t="s">
        <v>21</v>
      </c>
      <c r="BC3" s="56" t="s">
        <v>22</v>
      </c>
      <c r="BD3" s="56"/>
      <c r="BE3" s="56" t="s">
        <v>23</v>
      </c>
      <c r="BF3" s="56" t="s">
        <v>24</v>
      </c>
      <c r="BH3" s="56" t="s">
        <v>85</v>
      </c>
      <c r="BJ3" s="56" t="s">
        <v>79</v>
      </c>
      <c r="BK3" s="56" t="s">
        <v>86</v>
      </c>
      <c r="BL3" s="56" t="s">
        <v>87</v>
      </c>
    </row>
    <row r="4" spans="1:64" x14ac:dyDescent="0.35">
      <c r="B4" s="1" t="s">
        <v>25</v>
      </c>
      <c r="C4" s="1"/>
      <c r="D4" s="2">
        <v>43252</v>
      </c>
      <c r="E4" s="24">
        <v>0.4</v>
      </c>
      <c r="F4" s="8" t="s">
        <v>26</v>
      </c>
      <c r="H4" s="11">
        <v>1</v>
      </c>
      <c r="I4" s="75">
        <f>+E4*H4</f>
        <v>0.4</v>
      </c>
      <c r="J4" s="22">
        <v>1</v>
      </c>
      <c r="K4" s="10">
        <f>+I4/J4</f>
        <v>0.4</v>
      </c>
      <c r="L4" s="10" t="s">
        <v>88</v>
      </c>
      <c r="N4" s="21">
        <v>88.4</v>
      </c>
      <c r="O4" s="30" t="s">
        <v>27</v>
      </c>
      <c r="P4" s="30">
        <v>0</v>
      </c>
      <c r="R4" s="20">
        <v>620</v>
      </c>
      <c r="S4" s="20">
        <v>115</v>
      </c>
      <c r="T4" s="30">
        <v>-45</v>
      </c>
      <c r="V4" s="19">
        <f>6.07%+2.48%</f>
        <v>8.5500000000000007E-2</v>
      </c>
      <c r="Y4" s="93" t="s">
        <v>84</v>
      </c>
      <c r="Z4" s="93" t="s">
        <v>84</v>
      </c>
      <c r="AA4" s="93" t="s">
        <v>84</v>
      </c>
      <c r="AB4" s="95" t="s">
        <v>84</v>
      </c>
      <c r="AC4" s="95" t="s">
        <v>84</v>
      </c>
      <c r="AG4" s="9">
        <v>932</v>
      </c>
      <c r="AH4" s="9">
        <f>AG4+T4</f>
        <v>887</v>
      </c>
      <c r="AI4" s="94">
        <f>AH4/S4</f>
        <v>7.7130434782608699</v>
      </c>
      <c r="AJ4" s="94">
        <f>AH4/R4</f>
        <v>1.4306451612903226</v>
      </c>
      <c r="AK4" t="s">
        <v>91</v>
      </c>
      <c r="AL4" s="103" t="s">
        <v>84</v>
      </c>
      <c r="AO4" s="35">
        <f>K4+P4</f>
        <v>0.4</v>
      </c>
      <c r="AP4" s="33">
        <f>+AO4/$N4</f>
        <v>4.5248868778280538E-3</v>
      </c>
      <c r="AR4" s="35">
        <f>I4/V4+P4</f>
        <v>4.6783625730994149</v>
      </c>
      <c r="AS4" s="33">
        <f>+AR4/$N4</f>
        <v>5.292265354184858E-2</v>
      </c>
      <c r="AU4" s="14">
        <f>(R4/N4)^(1/YEARFRAC(D4,$B$1))-1</f>
        <v>0.30822155316851996</v>
      </c>
      <c r="AV4" s="37" t="str">
        <f>O4</f>
        <v>N/A</v>
      </c>
      <c r="AW4" s="37">
        <f>+S4</f>
        <v>115</v>
      </c>
      <c r="AY4" s="38">
        <f>AR4/R4</f>
        <v>7.5457460856442173E-3</v>
      </c>
      <c r="AZ4" s="38">
        <f>AR4/AW4</f>
        <v>4.0681413679125346E-2</v>
      </c>
      <c r="BB4" s="40">
        <v>1.5</v>
      </c>
      <c r="BC4" s="47">
        <f>BB4/(S4/R4)</f>
        <v>8.0869565217391308</v>
      </c>
      <c r="BE4" s="38">
        <f>(BB4*R4-T4)*V4/I4</f>
        <v>208.40625000000003</v>
      </c>
      <c r="BF4" s="41">
        <f>BE4^(1/YEARFRAC(D4,$B$1))-1</f>
        <v>1.0885734700866885</v>
      </c>
      <c r="BH4" s="42">
        <f>BE4*I4</f>
        <v>83.362500000000011</v>
      </c>
      <c r="BJ4" s="44">
        <v>0</v>
      </c>
      <c r="BK4" s="45">
        <f>BJ4*I4</f>
        <v>0</v>
      </c>
      <c r="BL4" s="42">
        <f>BJ4*BH4</f>
        <v>0</v>
      </c>
    </row>
    <row r="5" spans="1:64" x14ac:dyDescent="0.35">
      <c r="B5" s="3"/>
      <c r="C5" s="92"/>
      <c r="D5" s="92"/>
      <c r="E5" s="25"/>
      <c r="F5" s="25"/>
      <c r="H5" s="11"/>
      <c r="J5" s="13"/>
      <c r="O5" s="31"/>
      <c r="P5" s="31"/>
      <c r="T5" s="31"/>
      <c r="Y5" s="93" t="s">
        <v>84</v>
      </c>
      <c r="Z5" s="93" t="s">
        <v>84</v>
      </c>
      <c r="AA5" s="93" t="s">
        <v>84</v>
      </c>
      <c r="AB5" s="95" t="s">
        <v>84</v>
      </c>
      <c r="AC5" s="95" t="s">
        <v>84</v>
      </c>
      <c r="AG5" s="93" t="s">
        <v>84</v>
      </c>
      <c r="AH5" s="93" t="s">
        <v>84</v>
      </c>
      <c r="AI5" s="95" t="s">
        <v>84</v>
      </c>
      <c r="AJ5" s="95" t="s">
        <v>84</v>
      </c>
      <c r="AL5" s="103" t="s">
        <v>84</v>
      </c>
      <c r="AO5" s="35"/>
      <c r="AR5" s="35"/>
      <c r="AV5" s="37"/>
      <c r="AW5" s="37"/>
      <c r="AY5" s="39"/>
      <c r="AZ5" s="39"/>
    </row>
    <row r="6" spans="1:64" x14ac:dyDescent="0.35">
      <c r="A6" s="89" t="s">
        <v>28</v>
      </c>
      <c r="B6" s="1" t="s">
        <v>29</v>
      </c>
      <c r="C6" s="1"/>
      <c r="D6" s="2">
        <v>43617</v>
      </c>
      <c r="E6" s="24">
        <v>1.5</v>
      </c>
      <c r="F6" s="8" t="s">
        <v>30</v>
      </c>
      <c r="H6" s="11">
        <v>3.85</v>
      </c>
      <c r="I6" s="75">
        <f>+E6*H6</f>
        <v>5.7750000000000004</v>
      </c>
      <c r="J6" s="22">
        <v>1.8200000000000001E-2</v>
      </c>
      <c r="K6" s="10">
        <f>+I6/J6</f>
        <v>317.30769230769232</v>
      </c>
      <c r="L6" s="10" t="s">
        <v>88</v>
      </c>
      <c r="N6" s="21">
        <v>80.099999999999994</v>
      </c>
      <c r="O6" s="30">
        <v>-17</v>
      </c>
      <c r="P6" s="30">
        <v>0</v>
      </c>
      <c r="R6" s="20">
        <v>661.19999999999993</v>
      </c>
      <c r="S6" s="20">
        <v>50</v>
      </c>
      <c r="T6" s="30">
        <v>0</v>
      </c>
      <c r="V6" s="16">
        <v>1.0747988308610183E-2</v>
      </c>
      <c r="Y6" s="93" t="s">
        <v>84</v>
      </c>
      <c r="Z6" s="93" t="s">
        <v>84</v>
      </c>
      <c r="AA6" s="93" t="s">
        <v>84</v>
      </c>
      <c r="AB6" s="95" t="s">
        <v>84</v>
      </c>
      <c r="AC6" s="95" t="s">
        <v>84</v>
      </c>
      <c r="AG6" s="9">
        <v>1588.4</v>
      </c>
      <c r="AH6" s="9">
        <f>AG6+T6</f>
        <v>1588.4</v>
      </c>
      <c r="AI6" s="94">
        <f>AH6/S6</f>
        <v>31.768000000000001</v>
      </c>
      <c r="AJ6" s="94">
        <f>AH6/R6</f>
        <v>2.4022988505747129</v>
      </c>
      <c r="AK6" t="s">
        <v>92</v>
      </c>
      <c r="AL6" s="103" t="s">
        <v>84</v>
      </c>
      <c r="AO6" s="35">
        <f>K6+P6</f>
        <v>317.30769230769232</v>
      </c>
      <c r="AP6" s="33">
        <f>+AO6/$N6</f>
        <v>3.9613944108326136</v>
      </c>
      <c r="AR6" s="35">
        <f>I6/V6+P6</f>
        <v>537.30985131177192</v>
      </c>
      <c r="AS6" s="33">
        <f>+AR6/$N6</f>
        <v>6.707988156201897</v>
      </c>
      <c r="AU6" s="14">
        <f>(R6/N6)^(1/YEARFRAC(D6,$B$1))-1</f>
        <v>0.40175480223266202</v>
      </c>
      <c r="AV6" s="37">
        <f>O6</f>
        <v>-17</v>
      </c>
      <c r="AW6" s="37">
        <f>+S6</f>
        <v>50</v>
      </c>
      <c r="AY6" s="38">
        <f>AR6/R6</f>
        <v>0.81262832926765272</v>
      </c>
      <c r="AZ6" s="38">
        <f>AR6/AW6</f>
        <v>10.746197026235439</v>
      </c>
      <c r="BB6" s="40">
        <v>2.5</v>
      </c>
      <c r="BC6" s="47">
        <f>BB6/(S6/R6)</f>
        <v>33.059999999999995</v>
      </c>
      <c r="BE6" s="38">
        <f>(BB6*R6-T6)*V6/I6</f>
        <v>3.0764371730099791</v>
      </c>
      <c r="BF6" s="41">
        <f>BE6^(1/YEARFRAC(D6,$B$1))-1</f>
        <v>0.19698218864059602</v>
      </c>
      <c r="BH6" s="42">
        <f>BE6*I6</f>
        <v>17.766424674132629</v>
      </c>
      <c r="BJ6" s="44">
        <v>0</v>
      </c>
      <c r="BK6" s="45">
        <f>BJ6*I6</f>
        <v>0</v>
      </c>
      <c r="BL6" s="42">
        <f t="shared" ref="BL6:BL8" si="0">BJ6*BH6</f>
        <v>0</v>
      </c>
    </row>
    <row r="7" spans="1:64" x14ac:dyDescent="0.35">
      <c r="A7" s="89"/>
      <c r="B7" s="1" t="s">
        <v>31</v>
      </c>
      <c r="C7" s="1"/>
      <c r="D7" s="2">
        <v>43770</v>
      </c>
      <c r="E7" s="24">
        <v>1.3</v>
      </c>
      <c r="F7" s="8" t="s">
        <v>30</v>
      </c>
      <c r="H7" s="11">
        <v>4.1500000000000004</v>
      </c>
      <c r="I7" s="75">
        <f>+E7*H7</f>
        <v>5.3950000000000005</v>
      </c>
      <c r="J7" s="22">
        <v>1.15E-2</v>
      </c>
      <c r="K7" s="10">
        <f>+I7/J7</f>
        <v>469.13043478260875</v>
      </c>
      <c r="L7" s="10" t="s">
        <v>88</v>
      </c>
      <c r="N7" s="21">
        <v>80.099999999999994</v>
      </c>
      <c r="O7" s="30">
        <v>-17</v>
      </c>
      <c r="P7" s="30">
        <v>0</v>
      </c>
      <c r="R7" s="20">
        <v>661.19999999999993</v>
      </c>
      <c r="S7" s="20">
        <v>50</v>
      </c>
      <c r="T7" s="30">
        <v>0</v>
      </c>
      <c r="V7" s="16">
        <v>6.8158223700878337E-3</v>
      </c>
      <c r="Y7" s="93" t="s">
        <v>84</v>
      </c>
      <c r="Z7" s="93" t="s">
        <v>84</v>
      </c>
      <c r="AA7" s="93" t="s">
        <v>84</v>
      </c>
      <c r="AB7" s="95" t="s">
        <v>84</v>
      </c>
      <c r="AC7" s="95" t="s">
        <v>84</v>
      </c>
      <c r="AG7" s="93" t="s">
        <v>84</v>
      </c>
      <c r="AH7" s="93" t="s">
        <v>84</v>
      </c>
      <c r="AI7" s="95" t="s">
        <v>84</v>
      </c>
      <c r="AJ7" s="95" t="s">
        <v>84</v>
      </c>
      <c r="AL7" s="103" t="s">
        <v>84</v>
      </c>
      <c r="AO7" s="35">
        <f>K7+P7</f>
        <v>469.13043478260875</v>
      </c>
      <c r="AP7" s="33">
        <f t="shared" ref="AP7:AP8" si="1">+AO7/$N7</f>
        <v>5.8568094230038552</v>
      </c>
      <c r="AR7" s="35">
        <f>I7/V7+P7</f>
        <v>791.54058117428269</v>
      </c>
      <c r="AS7" s="33">
        <f>+AR7/$N7</f>
        <v>9.8819048835740659</v>
      </c>
      <c r="AU7" s="14">
        <f>(R7/N7)^(1/YEARFRAC(D7,$B$1))-1</f>
        <v>0.43598078231800996</v>
      </c>
      <c r="AV7" s="37">
        <f>O7</f>
        <v>-17</v>
      </c>
      <c r="AW7" s="37">
        <f>+S7</f>
        <v>50</v>
      </c>
      <c r="AY7" s="38">
        <f>AR7/R7</f>
        <v>1.1971273157505788</v>
      </c>
      <c r="AZ7" s="38">
        <f>AR7/AW7</f>
        <v>15.830811623485653</v>
      </c>
      <c r="BB7" s="40">
        <v>2.5</v>
      </c>
      <c r="BC7" s="47">
        <f>BB7/(S7/R7)</f>
        <v>33.059999999999995</v>
      </c>
      <c r="BE7" s="38">
        <f>(BB7*R7-T7)*V7/I7</f>
        <v>2.0883326001399789</v>
      </c>
      <c r="BF7" s="41">
        <f>BE7^(1/YEARFRAC(D7,$B$1))-1</f>
        <v>0.13454780586210058</v>
      </c>
      <c r="BH7" s="42">
        <f>BE7*I7</f>
        <v>11.266554377755186</v>
      </c>
      <c r="BJ7" s="44">
        <v>0</v>
      </c>
      <c r="BK7" s="45">
        <f>BJ7*I7</f>
        <v>0</v>
      </c>
      <c r="BL7" s="42">
        <f t="shared" si="0"/>
        <v>0</v>
      </c>
    </row>
    <row r="8" spans="1:64" x14ac:dyDescent="0.35">
      <c r="A8" s="89"/>
      <c r="B8" s="1" t="s">
        <v>32</v>
      </c>
      <c r="C8" s="1"/>
      <c r="D8" s="2">
        <v>44440</v>
      </c>
      <c r="E8" s="24">
        <v>2</v>
      </c>
      <c r="F8" s="8" t="s">
        <v>30</v>
      </c>
      <c r="H8" s="11">
        <v>5.25</v>
      </c>
      <c r="I8" s="75">
        <f>+E8*H8</f>
        <v>10.5</v>
      </c>
      <c r="J8" s="22">
        <v>5.1000000000000004E-3</v>
      </c>
      <c r="K8" s="10">
        <f>+I8/J8</f>
        <v>2058.8235294117644</v>
      </c>
      <c r="L8" s="10" t="s">
        <v>88</v>
      </c>
      <c r="N8" s="21">
        <v>189.8</v>
      </c>
      <c r="O8" s="30">
        <v>-57</v>
      </c>
      <c r="P8" s="30">
        <v>0</v>
      </c>
      <c r="R8" s="20">
        <v>661.19999999999993</v>
      </c>
      <c r="S8" s="20">
        <v>50</v>
      </c>
      <c r="T8" s="30">
        <v>0</v>
      </c>
      <c r="V8" s="16">
        <v>4.5123550491153654E-3</v>
      </c>
      <c r="Y8" s="93" t="s">
        <v>84</v>
      </c>
      <c r="Z8" s="93" t="s">
        <v>84</v>
      </c>
      <c r="AA8" s="93" t="s">
        <v>84</v>
      </c>
      <c r="AB8" s="95" t="s">
        <v>84</v>
      </c>
      <c r="AC8" s="95" t="s">
        <v>84</v>
      </c>
      <c r="AG8" s="93" t="s">
        <v>84</v>
      </c>
      <c r="AH8" s="93" t="s">
        <v>84</v>
      </c>
      <c r="AI8" s="95" t="s">
        <v>84</v>
      </c>
      <c r="AJ8" s="95" t="s">
        <v>84</v>
      </c>
      <c r="AL8" s="103" t="s">
        <v>84</v>
      </c>
      <c r="AO8" s="35">
        <f>K8+P8</f>
        <v>2058.8235294117644</v>
      </c>
      <c r="AP8" s="33">
        <f t="shared" si="1"/>
        <v>10.847331556437114</v>
      </c>
      <c r="AR8" s="35">
        <f>I8/V8+P8</f>
        <v>2326.944552392546</v>
      </c>
      <c r="AS8" s="33">
        <f>+AR8/$N8</f>
        <v>12.259981835577165</v>
      </c>
      <c r="AU8" s="14">
        <f>(R8/N8)^(1/YEARFRAC(D8,$B$1))-1</f>
        <v>0.36618388798901802</v>
      </c>
      <c r="AV8" s="37">
        <f>O8</f>
        <v>-57</v>
      </c>
      <c r="AW8" s="37">
        <f>+S8</f>
        <v>50</v>
      </c>
      <c r="AY8" s="38">
        <f>AR8/R8</f>
        <v>3.5192748826263553</v>
      </c>
      <c r="AZ8" s="38">
        <f>AR8/AW8</f>
        <v>46.538891047850917</v>
      </c>
      <c r="BB8" s="40">
        <v>2.5</v>
      </c>
      <c r="BC8" s="47">
        <f>BB8/(S8/R8)</f>
        <v>33.059999999999995</v>
      </c>
      <c r="BE8" s="38">
        <f>(BB8*R8-T8)*V8/I8</f>
        <v>0.71037360916073311</v>
      </c>
      <c r="BF8" s="41">
        <f>BE8^(1/YEARFRAC(D8,$B$1))-1</f>
        <v>-8.1938648885461651E-2</v>
      </c>
      <c r="BH8" s="42">
        <f>BE8*I8</f>
        <v>7.4589228961876977</v>
      </c>
      <c r="BJ8" s="44">
        <v>0</v>
      </c>
      <c r="BK8" s="45">
        <f>BJ8*I8</f>
        <v>0</v>
      </c>
      <c r="BL8" s="42">
        <f t="shared" si="0"/>
        <v>0</v>
      </c>
    </row>
    <row r="9" spans="1:64" x14ac:dyDescent="0.35">
      <c r="B9" s="4"/>
      <c r="C9" s="91"/>
      <c r="D9" s="91"/>
      <c r="E9" s="25"/>
      <c r="F9" s="25"/>
      <c r="H9" s="11"/>
      <c r="I9" s="75"/>
      <c r="J9" s="9"/>
      <c r="N9" s="25"/>
      <c r="O9" s="31"/>
      <c r="P9" s="31"/>
      <c r="R9" s="20"/>
      <c r="S9" s="20"/>
      <c r="T9" s="27"/>
      <c r="V9" s="13"/>
      <c r="Y9" s="93" t="s">
        <v>84</v>
      </c>
      <c r="Z9" s="93" t="s">
        <v>84</v>
      </c>
      <c r="AA9" s="93" t="s">
        <v>84</v>
      </c>
      <c r="AB9" s="95" t="s">
        <v>84</v>
      </c>
      <c r="AC9" s="95" t="s">
        <v>84</v>
      </c>
      <c r="AG9" s="93" t="s">
        <v>84</v>
      </c>
      <c r="AH9" s="93" t="s">
        <v>84</v>
      </c>
      <c r="AI9" s="95" t="s">
        <v>84</v>
      </c>
      <c r="AJ9" s="95" t="s">
        <v>84</v>
      </c>
      <c r="AL9" s="103" t="s">
        <v>84</v>
      </c>
      <c r="AO9" s="35"/>
      <c r="AR9" s="35"/>
      <c r="AV9" s="37"/>
      <c r="AW9" s="37"/>
      <c r="AY9" s="39"/>
      <c r="AZ9" s="39"/>
    </row>
    <row r="10" spans="1:64" x14ac:dyDescent="0.35">
      <c r="B10" s="1" t="s">
        <v>33</v>
      </c>
      <c r="C10" s="1"/>
      <c r="D10" s="2">
        <v>43770</v>
      </c>
      <c r="E10" s="24">
        <v>0.05</v>
      </c>
      <c r="F10" s="8" t="s">
        <v>30</v>
      </c>
      <c r="H10" s="11">
        <v>4.1500000000000004</v>
      </c>
      <c r="I10" s="75">
        <f>+E10*H10</f>
        <v>0.20750000000000002</v>
      </c>
      <c r="J10" s="22">
        <v>1.67E-2</v>
      </c>
      <c r="K10" s="10">
        <f>+I10/J10</f>
        <v>12.425149700598803</v>
      </c>
      <c r="L10" s="10" t="s">
        <v>88</v>
      </c>
      <c r="N10" s="21">
        <v>1.7</v>
      </c>
      <c r="O10" s="30">
        <v>-1</v>
      </c>
      <c r="P10" s="30">
        <v>0</v>
      </c>
      <c r="R10" s="20">
        <v>65</v>
      </c>
      <c r="S10" s="20">
        <v>5</v>
      </c>
      <c r="T10" s="30">
        <v>0</v>
      </c>
      <c r="V10" s="16">
        <v>1.24E-2</v>
      </c>
      <c r="Y10" s="93" t="s">
        <v>84</v>
      </c>
      <c r="Z10" s="93" t="s">
        <v>84</v>
      </c>
      <c r="AA10" s="93" t="s">
        <v>84</v>
      </c>
      <c r="AB10" s="95" t="s">
        <v>84</v>
      </c>
      <c r="AC10" s="95" t="s">
        <v>84</v>
      </c>
      <c r="AG10" s="9">
        <v>150</v>
      </c>
      <c r="AH10" s="9">
        <f>AG10+T10</f>
        <v>150</v>
      </c>
      <c r="AI10" s="94">
        <f>AH10/S10</f>
        <v>30</v>
      </c>
      <c r="AJ10" s="94">
        <f>AH10/R10</f>
        <v>2.3076923076923075</v>
      </c>
      <c r="AK10" t="s">
        <v>93</v>
      </c>
      <c r="AL10" s="103" t="s">
        <v>84</v>
      </c>
      <c r="AO10" s="35">
        <f>K10+P10</f>
        <v>12.425149700598803</v>
      </c>
      <c r="AP10" s="33">
        <f t="shared" ref="AP10:AP11" si="2">+AO10/$N10</f>
        <v>7.3089115885875318</v>
      </c>
      <c r="AR10" s="35">
        <f>I10/V10+P10</f>
        <v>16.733870967741936</v>
      </c>
      <c r="AS10" s="33">
        <f>+AR10/$N10</f>
        <v>9.8434535104364329</v>
      </c>
      <c r="AU10" s="14">
        <f>(R10/N10)^(1/YEARFRAC(D10,$B$1))-1</f>
        <v>0.86758173330654409</v>
      </c>
      <c r="AV10" s="37">
        <f>O10</f>
        <v>-1</v>
      </c>
      <c r="AW10" s="37">
        <f>+S10</f>
        <v>5</v>
      </c>
      <c r="AY10" s="38">
        <f>AR10/R10</f>
        <v>0.25744416873449133</v>
      </c>
      <c r="AZ10" s="38">
        <f>AR10/AW10</f>
        <v>3.346774193548387</v>
      </c>
      <c r="BB10" s="40">
        <v>2</v>
      </c>
      <c r="BC10" s="47">
        <f>BB10/(S10/R10)</f>
        <v>26</v>
      </c>
      <c r="BE10" s="38">
        <f>(BB10*R10-T10)*V10/I10</f>
        <v>7.7686746987951798</v>
      </c>
      <c r="BF10" s="41">
        <f>BE10^(1/YEARFRAC(D10,$B$1))-1</f>
        <v>0.42112049703148413</v>
      </c>
      <c r="BH10" s="42">
        <f>BE10*I10</f>
        <v>1.6119999999999999</v>
      </c>
      <c r="BJ10" s="44">
        <v>0</v>
      </c>
      <c r="BK10" s="45">
        <f>BJ10*I10</f>
        <v>0</v>
      </c>
      <c r="BL10" s="42">
        <f t="shared" ref="BL10:BL11" si="3">BJ10*BH10</f>
        <v>0</v>
      </c>
    </row>
    <row r="11" spans="1:64" x14ac:dyDescent="0.35">
      <c r="B11" s="1" t="s">
        <v>34</v>
      </c>
      <c r="C11" s="1"/>
      <c r="D11" s="2">
        <v>44136</v>
      </c>
      <c r="E11" s="24">
        <v>0.08</v>
      </c>
      <c r="F11" s="8" t="s">
        <v>30</v>
      </c>
      <c r="H11" s="11">
        <v>5.45</v>
      </c>
      <c r="I11" s="75">
        <f>+E11*H11</f>
        <v>0.436</v>
      </c>
      <c r="J11" s="22">
        <v>3.3E-3</v>
      </c>
      <c r="K11" s="10">
        <f>+I11/J11</f>
        <v>132.12121212121212</v>
      </c>
      <c r="L11" s="10" t="s">
        <v>88</v>
      </c>
      <c r="N11" s="21">
        <v>12.1</v>
      </c>
      <c r="O11" s="30">
        <v>-4</v>
      </c>
      <c r="P11" s="30">
        <v>0</v>
      </c>
      <c r="R11" s="20">
        <v>65</v>
      </c>
      <c r="S11" s="20">
        <v>5</v>
      </c>
      <c r="T11" s="30">
        <v>0</v>
      </c>
      <c r="V11" s="16">
        <v>3.0999999999999999E-3</v>
      </c>
      <c r="Y11" s="93" t="s">
        <v>84</v>
      </c>
      <c r="Z11" s="93" t="s">
        <v>84</v>
      </c>
      <c r="AA11" s="93" t="s">
        <v>84</v>
      </c>
      <c r="AB11" s="95" t="s">
        <v>84</v>
      </c>
      <c r="AC11" s="95" t="s">
        <v>84</v>
      </c>
      <c r="AG11" s="93" t="s">
        <v>84</v>
      </c>
      <c r="AH11" s="93" t="s">
        <v>84</v>
      </c>
      <c r="AI11" s="95" t="s">
        <v>84</v>
      </c>
      <c r="AJ11" s="95" t="s">
        <v>84</v>
      </c>
      <c r="AL11" s="103" t="s">
        <v>84</v>
      </c>
      <c r="AO11" s="35">
        <f>K11+P11</f>
        <v>132.12121212121212</v>
      </c>
      <c r="AP11" s="33">
        <f t="shared" si="2"/>
        <v>10.919108439769598</v>
      </c>
      <c r="AR11" s="35">
        <f>I11/V11+P11</f>
        <v>140.64516129032259</v>
      </c>
      <c r="AS11" s="33">
        <f>+AR11/$N11</f>
        <v>11.623567048786992</v>
      </c>
      <c r="AU11" s="14">
        <f>(R11/N11)^(1/YEARFRAC(D11,$B$1))-1</f>
        <v>0.4159925313952415</v>
      </c>
      <c r="AV11" s="37">
        <f>O11</f>
        <v>-4</v>
      </c>
      <c r="AW11" s="37">
        <f>+S11</f>
        <v>5</v>
      </c>
      <c r="AY11" s="38">
        <f>AR11/R11</f>
        <v>2.1637717121588089</v>
      </c>
      <c r="AZ11" s="38">
        <f>AR11/AW11</f>
        <v>28.12903225806452</v>
      </c>
      <c r="BB11" s="40">
        <v>2</v>
      </c>
      <c r="BC11" s="47">
        <f>BB11/(S11/R11)</f>
        <v>26</v>
      </c>
      <c r="BE11" s="38">
        <f>(BB11*R11-T11)*V11/I11</f>
        <v>0.92431192660550454</v>
      </c>
      <c r="BF11" s="41">
        <f>BE11^(1/YEARFRAC(D11,$B$1))-1</f>
        <v>-1.6152067567420048E-2</v>
      </c>
      <c r="BH11" s="42">
        <f>BE11*I11</f>
        <v>0.40299999999999997</v>
      </c>
      <c r="BJ11" s="44">
        <v>0</v>
      </c>
      <c r="BK11" s="45">
        <f>BJ11*I11</f>
        <v>0</v>
      </c>
      <c r="BL11" s="42">
        <f t="shared" si="3"/>
        <v>0</v>
      </c>
    </row>
    <row r="12" spans="1:64" x14ac:dyDescent="0.35">
      <c r="B12" s="5"/>
      <c r="C12" s="91"/>
      <c r="D12" s="91"/>
      <c r="E12" s="25"/>
      <c r="F12" s="25"/>
      <c r="H12" s="11"/>
      <c r="I12" s="75"/>
      <c r="J12" s="12"/>
      <c r="N12" s="25"/>
      <c r="O12" s="31"/>
      <c r="P12" s="31"/>
      <c r="R12" s="20"/>
      <c r="S12" s="20"/>
      <c r="T12" s="27"/>
      <c r="V12" s="12"/>
      <c r="Y12" s="93" t="s">
        <v>84</v>
      </c>
      <c r="Z12" s="93" t="s">
        <v>84</v>
      </c>
      <c r="AA12" s="93" t="s">
        <v>84</v>
      </c>
      <c r="AB12" s="95" t="s">
        <v>84</v>
      </c>
      <c r="AC12" s="95" t="s">
        <v>84</v>
      </c>
      <c r="AG12" s="93" t="s">
        <v>84</v>
      </c>
      <c r="AH12" s="93" t="s">
        <v>84</v>
      </c>
      <c r="AI12" s="95" t="s">
        <v>84</v>
      </c>
      <c r="AJ12" s="95" t="s">
        <v>84</v>
      </c>
      <c r="AL12" s="103" t="s">
        <v>84</v>
      </c>
      <c r="AO12" s="35"/>
      <c r="AR12" s="35"/>
      <c r="AV12" s="37"/>
      <c r="AW12" s="37"/>
      <c r="AY12" s="39"/>
      <c r="AZ12" s="39"/>
    </row>
    <row r="13" spans="1:64" x14ac:dyDescent="0.35">
      <c r="B13" s="1" t="s">
        <v>35</v>
      </c>
      <c r="C13" s="1"/>
      <c r="D13" s="2">
        <v>43983</v>
      </c>
      <c r="E13" s="24">
        <v>3.1</v>
      </c>
      <c r="F13" s="8" t="s">
        <v>26</v>
      </c>
      <c r="H13" s="11">
        <v>1</v>
      </c>
      <c r="I13" s="75">
        <f>+E13*H13</f>
        <v>3.1</v>
      </c>
      <c r="J13" s="22">
        <v>0.5</v>
      </c>
      <c r="K13" s="10">
        <f>+I13/J13</f>
        <v>6.2</v>
      </c>
      <c r="L13" s="10" t="s">
        <v>88</v>
      </c>
      <c r="N13" s="21">
        <v>20</v>
      </c>
      <c r="O13" s="30">
        <v>0.3</v>
      </c>
      <c r="P13" s="30">
        <v>2</v>
      </c>
      <c r="R13" s="20">
        <v>475.65000000000003</v>
      </c>
      <c r="S13" s="20">
        <v>70.331999999999994</v>
      </c>
      <c r="T13" s="30">
        <v>146</v>
      </c>
      <c r="V13" s="19">
        <v>0.3</v>
      </c>
      <c r="Y13" s="93" t="s">
        <v>84</v>
      </c>
      <c r="Z13" s="93" t="s">
        <v>84</v>
      </c>
      <c r="AA13" s="93" t="s">
        <v>84</v>
      </c>
      <c r="AB13" s="95" t="s">
        <v>84</v>
      </c>
      <c r="AC13" s="95" t="s">
        <v>84</v>
      </c>
      <c r="AG13" s="9">
        <v>462.65599999999995</v>
      </c>
      <c r="AH13" s="9">
        <f>AG13+T13</f>
        <v>608.65599999999995</v>
      </c>
      <c r="AI13" s="94">
        <f>AH13/S13</f>
        <v>8.6540408348973443</v>
      </c>
      <c r="AJ13" s="94">
        <f>AH13/R13</f>
        <v>1.2796299800273307</v>
      </c>
      <c r="AK13" t="s">
        <v>91</v>
      </c>
      <c r="AL13" s="103" t="s">
        <v>84</v>
      </c>
      <c r="AO13" s="35">
        <f>K13+P13</f>
        <v>8.1999999999999993</v>
      </c>
      <c r="AP13" s="33">
        <f>+AO13/$N13</f>
        <v>0.41</v>
      </c>
      <c r="AR13" s="35">
        <f>I13/V13+P13</f>
        <v>12.333333333333334</v>
      </c>
      <c r="AS13" s="33">
        <f>+AR13/$N13</f>
        <v>0.6166666666666667</v>
      </c>
      <c r="AU13" s="14">
        <f>(R13/N13)^(1/YEARFRAC(D13,$B$1))-1</f>
        <v>0.82870767137135304</v>
      </c>
      <c r="AV13" s="37">
        <f>O13</f>
        <v>0.3</v>
      </c>
      <c r="AW13" s="37">
        <f>+S13</f>
        <v>70.331999999999994</v>
      </c>
      <c r="AY13" s="38">
        <f>AR13/R13</f>
        <v>2.5929429902939834E-2</v>
      </c>
      <c r="AZ13" s="38">
        <f>AR13/AW13</f>
        <v>0.1753587745739256</v>
      </c>
      <c r="BB13" s="40">
        <v>1</v>
      </c>
      <c r="BC13" s="47">
        <f>BB13/(S13/R13)</f>
        <v>6.762924415628734</v>
      </c>
      <c r="BE13" s="38">
        <f>(BB13*R13-T13)*V13/I13</f>
        <v>31.901612903225807</v>
      </c>
      <c r="BF13" s="41">
        <f>BE13^(1/YEARFRAC(D13,$B$1))-1</f>
        <v>0.9339288983786902</v>
      </c>
      <c r="BH13" s="42">
        <f>BE13*I13</f>
        <v>98.89500000000001</v>
      </c>
      <c r="BJ13" s="44">
        <v>0</v>
      </c>
      <c r="BK13" s="45">
        <f>BJ13*I13</f>
        <v>0</v>
      </c>
      <c r="BL13" s="42">
        <f>BJ13*BH13</f>
        <v>0</v>
      </c>
    </row>
    <row r="14" spans="1:64" x14ac:dyDescent="0.35">
      <c r="B14" s="5"/>
      <c r="C14" s="91"/>
      <c r="D14" s="91"/>
      <c r="E14" s="25"/>
      <c r="F14" s="25"/>
      <c r="H14" s="11"/>
      <c r="I14" s="75"/>
      <c r="J14" s="13"/>
      <c r="N14" s="25"/>
      <c r="O14" s="31"/>
      <c r="P14" s="31"/>
      <c r="R14" s="20"/>
      <c r="S14" s="20"/>
      <c r="T14" s="27"/>
      <c r="V14" s="13"/>
      <c r="Y14" s="93" t="s">
        <v>84</v>
      </c>
      <c r="Z14" s="93" t="s">
        <v>84</v>
      </c>
      <c r="AA14" s="93" t="s">
        <v>84</v>
      </c>
      <c r="AB14" s="95" t="s">
        <v>84</v>
      </c>
      <c r="AC14" s="95" t="s">
        <v>84</v>
      </c>
      <c r="AG14" s="93" t="s">
        <v>84</v>
      </c>
      <c r="AH14" s="93" t="s">
        <v>84</v>
      </c>
      <c r="AI14" s="95" t="s">
        <v>84</v>
      </c>
      <c r="AJ14" s="95" t="s">
        <v>84</v>
      </c>
      <c r="AL14" s="103" t="s">
        <v>84</v>
      </c>
      <c r="AO14" s="35"/>
      <c r="AR14" s="35"/>
      <c r="AV14" s="37"/>
      <c r="AW14" s="37"/>
      <c r="AY14" s="39"/>
      <c r="AZ14" s="39"/>
    </row>
    <row r="15" spans="1:64" x14ac:dyDescent="0.35">
      <c r="B15" s="1" t="s">
        <v>36</v>
      </c>
      <c r="C15" s="1"/>
      <c r="D15" s="2">
        <v>44136</v>
      </c>
      <c r="E15" s="24">
        <v>2.9</v>
      </c>
      <c r="F15" s="8" t="s">
        <v>30</v>
      </c>
      <c r="H15" s="11">
        <f>+H11</f>
        <v>5.45</v>
      </c>
      <c r="I15" s="75">
        <f>+E15*H15</f>
        <v>15.805</v>
      </c>
      <c r="J15" s="22">
        <v>0.21690000000000001</v>
      </c>
      <c r="K15" s="10">
        <f>+I15/J15</f>
        <v>72.867680958967256</v>
      </c>
      <c r="L15" s="10" t="s">
        <v>81</v>
      </c>
      <c r="N15" s="21">
        <v>36.799999999999997</v>
      </c>
      <c r="O15" s="30">
        <v>3</v>
      </c>
      <c r="P15" s="30">
        <v>2</v>
      </c>
      <c r="R15" s="20">
        <v>430</v>
      </c>
      <c r="S15" s="20">
        <v>55</v>
      </c>
      <c r="T15" s="30">
        <v>110</v>
      </c>
      <c r="V15" s="16">
        <v>0.18679528403001072</v>
      </c>
      <c r="Y15" s="93" t="s">
        <v>84</v>
      </c>
      <c r="Z15" s="93" t="s">
        <v>84</v>
      </c>
      <c r="AA15" s="93" t="s">
        <v>84</v>
      </c>
      <c r="AB15" s="95" t="s">
        <v>84</v>
      </c>
      <c r="AC15" s="95" t="s">
        <v>84</v>
      </c>
      <c r="AG15" s="9">
        <v>950</v>
      </c>
      <c r="AH15" s="9">
        <f>AG15+T15</f>
        <v>1060</v>
      </c>
      <c r="AI15" s="94">
        <f>AH15/S15</f>
        <v>19.272727272727273</v>
      </c>
      <c r="AJ15" s="94">
        <f>AH15/R15</f>
        <v>2.4651162790697674</v>
      </c>
      <c r="AK15" t="s">
        <v>95</v>
      </c>
      <c r="AL15" s="102">
        <f>$AG$15*V15</f>
        <v>177.45551982851018</v>
      </c>
      <c r="AO15" s="35">
        <f>K15+P15</f>
        <v>74.867680958967256</v>
      </c>
      <c r="AP15" s="33">
        <f t="shared" ref="AP15:AP18" si="4">+AO15/$N15</f>
        <v>2.0344478521458496</v>
      </c>
      <c r="AR15" s="35">
        <f>I15/V15+P15</f>
        <v>86.61134381455129</v>
      </c>
      <c r="AS15" s="33">
        <f>+AR15/$N15</f>
        <v>2.3535691253954156</v>
      </c>
      <c r="AU15" s="14">
        <f>(R15/N15)^(1/YEARFRAC(D15,$B$1))-1</f>
        <v>0.66298000827755055</v>
      </c>
      <c r="AV15" s="37">
        <f>O15</f>
        <v>3</v>
      </c>
      <c r="AW15" s="37">
        <f>+S15</f>
        <v>55</v>
      </c>
      <c r="AY15" s="38">
        <f>AR15/R15</f>
        <v>0.20142172980128206</v>
      </c>
      <c r="AZ15" s="38">
        <f>AR15/AW15</f>
        <v>1.5747517057191143</v>
      </c>
      <c r="BB15" s="40">
        <v>2</v>
      </c>
      <c r="BC15" s="47">
        <f>BB15/(S15/R15)</f>
        <v>15.636363636363635</v>
      </c>
      <c r="BE15" s="38">
        <f>(BB15*R15-T15)*V15/I15</f>
        <v>8.86405966608719</v>
      </c>
      <c r="BF15" s="41">
        <f>BE15^(1/YEARFRAC(D15,$B$1))-1</f>
        <v>0.57058675939887804</v>
      </c>
      <c r="BH15" s="42">
        <f>BE15*I15</f>
        <v>140.09646302250803</v>
      </c>
      <c r="BJ15" s="44">
        <v>0</v>
      </c>
      <c r="BK15" s="45">
        <f>BJ15*I15</f>
        <v>0</v>
      </c>
      <c r="BL15" s="42">
        <f t="shared" ref="BL15:BL31" si="5">BJ15*BH15</f>
        <v>0</v>
      </c>
    </row>
    <row r="16" spans="1:64" x14ac:dyDescent="0.35">
      <c r="B16" s="1" t="s">
        <v>37</v>
      </c>
      <c r="C16" s="1"/>
      <c r="D16" s="2">
        <v>44531</v>
      </c>
      <c r="E16" s="24">
        <v>2.4</v>
      </c>
      <c r="F16" s="8" t="s">
        <v>30</v>
      </c>
      <c r="H16" s="11">
        <v>5.65</v>
      </c>
      <c r="I16" s="75">
        <f>+E16*H16</f>
        <v>13.56</v>
      </c>
      <c r="J16" s="22">
        <v>6.9000000000000006E-2</v>
      </c>
      <c r="K16" s="10">
        <f>+I16/J16</f>
        <v>196.52173913043478</v>
      </c>
      <c r="L16" s="10" t="s">
        <v>81</v>
      </c>
      <c r="N16" s="21">
        <v>54.1</v>
      </c>
      <c r="O16" s="30">
        <v>-6</v>
      </c>
      <c r="P16" s="30">
        <v>9</v>
      </c>
      <c r="R16" s="20">
        <v>430</v>
      </c>
      <c r="S16" s="20">
        <v>55</v>
      </c>
      <c r="T16" s="30">
        <v>110</v>
      </c>
      <c r="V16" s="16">
        <v>6.2515183994283671E-2</v>
      </c>
      <c r="Y16" s="93" t="s">
        <v>84</v>
      </c>
      <c r="Z16" s="93" t="s">
        <v>84</v>
      </c>
      <c r="AA16" s="93" t="s">
        <v>84</v>
      </c>
      <c r="AB16" s="95" t="s">
        <v>84</v>
      </c>
      <c r="AC16" s="95" t="s">
        <v>84</v>
      </c>
      <c r="AG16" s="93" t="s">
        <v>84</v>
      </c>
      <c r="AH16" s="93" t="s">
        <v>84</v>
      </c>
      <c r="AI16" s="95" t="s">
        <v>84</v>
      </c>
      <c r="AJ16" s="95" t="s">
        <v>84</v>
      </c>
      <c r="AL16" s="102">
        <f>$AG$15*V16</f>
        <v>59.389424794569486</v>
      </c>
      <c r="AO16" s="35">
        <f>K16+P16</f>
        <v>205.52173913043478</v>
      </c>
      <c r="AP16" s="33">
        <f t="shared" si="4"/>
        <v>3.7989230892871491</v>
      </c>
      <c r="AR16" s="35">
        <f>I16/V16+P16</f>
        <v>225.9073036918505</v>
      </c>
      <c r="AS16" s="33">
        <f>+AR16/$N16</f>
        <v>4.1757357429177544</v>
      </c>
      <c r="AU16" s="14">
        <f>(R16/N16)^(1/YEARFRAC(D16,$B$1))-1</f>
        <v>0.73809022640511479</v>
      </c>
      <c r="AV16" s="37">
        <f>O16</f>
        <v>-6</v>
      </c>
      <c r="AW16" s="37">
        <f>+S16</f>
        <v>55</v>
      </c>
      <c r="AY16" s="38">
        <f>AR16/R16</f>
        <v>0.52536582253918718</v>
      </c>
      <c r="AZ16" s="38">
        <f>AR16/AW16</f>
        <v>4.1074055216700094</v>
      </c>
      <c r="BB16" s="40">
        <v>2</v>
      </c>
      <c r="BC16" s="47">
        <f>BB16/(S16/R16)</f>
        <v>15.636363636363635</v>
      </c>
      <c r="BE16" s="38">
        <f>(BB16*R16-T16)*V16/I16</f>
        <v>3.4576982297723267</v>
      </c>
      <c r="BF16" s="41">
        <f>BE16^(1/YEARFRAC(D16,$B$1))-1</f>
        <v>0.392119627684554</v>
      </c>
      <c r="BH16" s="42">
        <f>BE16*I16</f>
        <v>46.886387995712752</v>
      </c>
      <c r="BJ16" s="44">
        <v>0</v>
      </c>
      <c r="BK16" s="45">
        <f>BJ16*I16</f>
        <v>0</v>
      </c>
      <c r="BL16" s="42">
        <f t="shared" si="5"/>
        <v>0</v>
      </c>
    </row>
    <row r="17" spans="2:64" x14ac:dyDescent="0.35">
      <c r="B17" s="1" t="s">
        <v>38</v>
      </c>
      <c r="C17" s="1"/>
      <c r="D17" s="2">
        <v>45170</v>
      </c>
      <c r="E17" s="24">
        <v>13.5</v>
      </c>
      <c r="F17" s="7" t="s">
        <v>26</v>
      </c>
      <c r="H17" s="11">
        <v>1</v>
      </c>
      <c r="I17" s="75">
        <f>+E17*H17</f>
        <v>13.5</v>
      </c>
      <c r="J17" s="22">
        <v>8.7999999999999995E-2</v>
      </c>
      <c r="K17" s="10">
        <f>+I17/J17</f>
        <v>153.40909090909091</v>
      </c>
      <c r="L17" s="10" t="s">
        <v>82</v>
      </c>
      <c r="N17" s="21">
        <v>114.8</v>
      </c>
      <c r="O17" s="30">
        <v>10</v>
      </c>
      <c r="P17" s="30">
        <v>10.5</v>
      </c>
      <c r="R17" s="20">
        <v>430</v>
      </c>
      <c r="S17" s="20">
        <v>55</v>
      </c>
      <c r="T17" s="30">
        <v>110</v>
      </c>
      <c r="V17" s="18">
        <v>6.7199999999999996E-2</v>
      </c>
      <c r="Y17" s="97">
        <v>39.9</v>
      </c>
      <c r="Z17" s="97">
        <f>Y17/8.79%</f>
        <v>453.92491467576792</v>
      </c>
      <c r="AA17" s="97">
        <f>Z17+T17</f>
        <v>563.92491467576792</v>
      </c>
      <c r="AB17" s="98">
        <f>AA17/S17</f>
        <v>10.253180266832144</v>
      </c>
      <c r="AC17" s="98">
        <f>AA17/R17</f>
        <v>1.3114532899436464</v>
      </c>
      <c r="AD17" s="98">
        <f>Y17/I17</f>
        <v>2.9555555555555553</v>
      </c>
      <c r="AE17" s="101">
        <f>(AD17^(1/((45878-$D17)/365))-1)</f>
        <v>0.74836358910408229</v>
      </c>
      <c r="AG17" s="93" t="s">
        <v>84</v>
      </c>
      <c r="AH17" s="93" t="s">
        <v>84</v>
      </c>
      <c r="AI17" s="95" t="s">
        <v>84</v>
      </c>
      <c r="AJ17" s="95" t="s">
        <v>84</v>
      </c>
      <c r="AL17" s="102">
        <f>$AG$15*V17</f>
        <v>63.839999999999996</v>
      </c>
      <c r="AO17" s="35">
        <f>K17+P17</f>
        <v>163.90909090909091</v>
      </c>
      <c r="AP17" s="33">
        <f t="shared" si="4"/>
        <v>1.427779537535635</v>
      </c>
      <c r="AR17" s="35">
        <f>I17/V17+P17</f>
        <v>211.39285714285717</v>
      </c>
      <c r="AS17" s="33">
        <f>+AR17/$N17</f>
        <v>1.8414011946241915</v>
      </c>
      <c r="AU17" s="14">
        <f>(R17/N17)^(1/YEARFRAC(D17,$B$1))-1</f>
        <v>0.93536678676243068</v>
      </c>
      <c r="AV17" s="37">
        <f>O17</f>
        <v>10</v>
      </c>
      <c r="AW17" s="37">
        <f>+S17</f>
        <v>55</v>
      </c>
      <c r="AY17" s="38">
        <f>AR17/R17</f>
        <v>0.49161129568106315</v>
      </c>
      <c r="AZ17" s="38">
        <f>AR17/AW17</f>
        <v>3.843506493506494</v>
      </c>
      <c r="BB17" s="40">
        <v>2</v>
      </c>
      <c r="BC17" s="47">
        <f>BB17/(S17/R17)</f>
        <v>15.636363636363635</v>
      </c>
      <c r="BE17" s="38">
        <f>(BB17*R17-T17)*V17/I17</f>
        <v>3.7333333333333334</v>
      </c>
      <c r="BF17" s="41">
        <f>BE17^(1/YEARFRAC(D17,$B$1))-1</f>
        <v>0.93218356615859177</v>
      </c>
      <c r="BH17" s="42">
        <f>BE17*I17</f>
        <v>50.4</v>
      </c>
      <c r="BJ17" s="44">
        <v>1</v>
      </c>
      <c r="BK17" s="45">
        <f>BJ17*I17</f>
        <v>13.5</v>
      </c>
      <c r="BL17" s="42">
        <f t="shared" si="5"/>
        <v>50.4</v>
      </c>
    </row>
    <row r="18" spans="2:64" x14ac:dyDescent="0.35">
      <c r="B18" s="1" t="s">
        <v>39</v>
      </c>
      <c r="C18" s="1"/>
      <c r="D18" s="2">
        <v>45261</v>
      </c>
      <c r="E18" s="24">
        <v>2</v>
      </c>
      <c r="F18" s="8" t="s">
        <v>30</v>
      </c>
      <c r="H18" s="11">
        <v>4.84</v>
      </c>
      <c r="I18" s="75">
        <f>+E18*H18</f>
        <v>9.68</v>
      </c>
      <c r="J18" s="22">
        <v>6.1499999999999999E-2</v>
      </c>
      <c r="K18" s="10">
        <f>+I18/J18</f>
        <v>157.39837398373984</v>
      </c>
      <c r="L18" s="10" t="s">
        <v>81</v>
      </c>
      <c r="N18" s="21">
        <v>114.8</v>
      </c>
      <c r="O18" s="30">
        <v>10</v>
      </c>
      <c r="P18" s="30">
        <v>10.5</v>
      </c>
      <c r="R18" s="20">
        <v>430</v>
      </c>
      <c r="S18" s="20">
        <v>55</v>
      </c>
      <c r="T18" s="30">
        <v>110</v>
      </c>
      <c r="V18" s="17">
        <v>6.1819925728119778E-2</v>
      </c>
      <c r="Y18" s="93" t="s">
        <v>84</v>
      </c>
      <c r="Z18" s="93" t="s">
        <v>84</v>
      </c>
      <c r="AA18" s="93" t="s">
        <v>84</v>
      </c>
      <c r="AB18" s="95" t="s">
        <v>84</v>
      </c>
      <c r="AC18" s="95" t="s">
        <v>84</v>
      </c>
      <c r="AG18" s="93" t="s">
        <v>84</v>
      </c>
      <c r="AH18" s="93" t="s">
        <v>84</v>
      </c>
      <c r="AI18" s="95" t="s">
        <v>84</v>
      </c>
      <c r="AJ18" s="95" t="s">
        <v>84</v>
      </c>
      <c r="AL18" s="102">
        <f>$AG$15*V18</f>
        <v>58.728929441713788</v>
      </c>
      <c r="AO18" s="35">
        <f>K18+P18</f>
        <v>167.89837398373984</v>
      </c>
      <c r="AP18" s="33">
        <f t="shared" si="4"/>
        <v>1.4625293901022636</v>
      </c>
      <c r="AR18" s="35">
        <f>I18/V18+P18</f>
        <v>167.08381801641178</v>
      </c>
      <c r="AS18" s="33">
        <f>+AR18/$N18</f>
        <v>1.4554339548467925</v>
      </c>
      <c r="AU18" s="14">
        <f>(R18/N18)^(1/YEARFRAC(D18,$B$1))-1</f>
        <v>1.1268137879895113</v>
      </c>
      <c r="AV18" s="37">
        <f>O18</f>
        <v>10</v>
      </c>
      <c r="AW18" s="37">
        <f>+S18</f>
        <v>55</v>
      </c>
      <c r="AY18" s="38">
        <f>AR18/R18</f>
        <v>0.38856701864281812</v>
      </c>
      <c r="AZ18" s="38">
        <f>AR18/AW18</f>
        <v>3.0378876002983959</v>
      </c>
      <c r="BB18" s="40">
        <v>2</v>
      </c>
      <c r="BC18" s="47">
        <f>BB18/(S18/R18)</f>
        <v>15.636363636363635</v>
      </c>
      <c r="BE18" s="38">
        <f>(BB18*R18-T18)*V18/I18</f>
        <v>4.7897669727365528</v>
      </c>
      <c r="BF18" s="41">
        <f>BE18^(1/YEARFRAC(D18,$B$1))-1</f>
        <v>1.4476599242480979</v>
      </c>
      <c r="BH18" s="42">
        <f>BE18*I18</f>
        <v>46.364944296089831</v>
      </c>
      <c r="BJ18" s="44">
        <v>1</v>
      </c>
      <c r="BK18" s="45">
        <f>BJ18*I18</f>
        <v>9.68</v>
      </c>
      <c r="BL18" s="42">
        <f t="shared" si="5"/>
        <v>46.364944296089831</v>
      </c>
    </row>
    <row r="19" spans="2:64" x14ac:dyDescent="0.35">
      <c r="B19" s="5"/>
      <c r="C19" s="91"/>
      <c r="D19" s="91"/>
      <c r="E19" s="25"/>
      <c r="F19" s="25"/>
      <c r="H19" s="11"/>
      <c r="I19" s="75"/>
      <c r="J19" s="13"/>
      <c r="N19" s="25"/>
      <c r="O19" s="31"/>
      <c r="P19" s="31"/>
      <c r="R19" s="48"/>
      <c r="S19" s="20"/>
      <c r="T19" s="27"/>
      <c r="V19" s="13"/>
      <c r="Y19" s="93" t="s">
        <v>84</v>
      </c>
      <c r="Z19" s="93" t="s">
        <v>84</v>
      </c>
      <c r="AA19" s="93" t="s">
        <v>84</v>
      </c>
      <c r="AB19" s="95" t="s">
        <v>84</v>
      </c>
      <c r="AC19" s="95" t="s">
        <v>84</v>
      </c>
      <c r="AG19" s="93" t="s">
        <v>84</v>
      </c>
      <c r="AH19" s="93" t="s">
        <v>84</v>
      </c>
      <c r="AI19" s="95" t="s">
        <v>84</v>
      </c>
      <c r="AJ19" s="95" t="s">
        <v>84</v>
      </c>
      <c r="AL19" s="104" t="s">
        <v>84</v>
      </c>
      <c r="AO19" s="35"/>
      <c r="AR19" s="35"/>
      <c r="AV19" s="37"/>
      <c r="AW19" s="37"/>
      <c r="AY19" s="39"/>
      <c r="AZ19" s="39"/>
    </row>
    <row r="20" spans="2:64" x14ac:dyDescent="0.35">
      <c r="B20" s="1" t="s">
        <v>40</v>
      </c>
      <c r="C20" s="1"/>
      <c r="D20" s="2">
        <v>44166</v>
      </c>
      <c r="E20" s="24">
        <v>4</v>
      </c>
      <c r="F20" s="8" t="s">
        <v>26</v>
      </c>
      <c r="H20" s="11">
        <v>1</v>
      </c>
      <c r="I20" s="75">
        <f>+E20*H20</f>
        <v>4</v>
      </c>
      <c r="J20" s="22">
        <v>0.1026</v>
      </c>
      <c r="K20" s="10">
        <f>+I20/J20</f>
        <v>38.98635477582846</v>
      </c>
      <c r="L20" s="10" t="s">
        <v>88</v>
      </c>
      <c r="N20" s="21">
        <v>3</v>
      </c>
      <c r="O20" s="30">
        <v>-3</v>
      </c>
      <c r="P20" s="30">
        <v>0</v>
      </c>
      <c r="R20" s="20">
        <v>62.5</v>
      </c>
      <c r="S20" s="20">
        <v>28.6</v>
      </c>
      <c r="T20" s="30">
        <v>10</v>
      </c>
      <c r="V20" s="16">
        <v>6.4303185262380588E-2</v>
      </c>
      <c r="Y20" s="93" t="s">
        <v>84</v>
      </c>
      <c r="Z20" s="93" t="s">
        <v>84</v>
      </c>
      <c r="AA20" s="93" t="s">
        <v>84</v>
      </c>
      <c r="AB20" s="95" t="s">
        <v>84</v>
      </c>
      <c r="AC20" s="95" t="s">
        <v>84</v>
      </c>
      <c r="AG20" s="9">
        <v>271</v>
      </c>
      <c r="AH20" s="9">
        <f>AG20+T20</f>
        <v>281</v>
      </c>
      <c r="AI20" s="94">
        <f>AH20/S20</f>
        <v>9.825174825174825</v>
      </c>
      <c r="AJ20" s="94">
        <f>AH20/R20</f>
        <v>4.4960000000000004</v>
      </c>
      <c r="AK20" t="s">
        <v>94</v>
      </c>
      <c r="AL20" s="104" t="s">
        <v>84</v>
      </c>
      <c r="AO20" s="35">
        <f>K20+P20</f>
        <v>38.98635477582846</v>
      </c>
      <c r="AP20" s="33">
        <f t="shared" ref="AP20:AP21" si="6">+AO20/$N20</f>
        <v>12.995451591942819</v>
      </c>
      <c r="AR20" s="35">
        <f>I20/V20+P20</f>
        <v>62.205316636781404</v>
      </c>
      <c r="AS20" s="33">
        <f>+AR20/$N20</f>
        <v>20.7351055455938</v>
      </c>
      <c r="AU20" s="14">
        <f>(R20/N20)^(1/YEARFRAC(D20,$B$1))-1</f>
        <v>0.89510563823760081</v>
      </c>
      <c r="AV20" s="37">
        <f>O20</f>
        <v>-3</v>
      </c>
      <c r="AW20" s="37">
        <f>+S20</f>
        <v>28.6</v>
      </c>
      <c r="AY20" s="38">
        <f>AR20/R20</f>
        <v>0.99528506618850243</v>
      </c>
      <c r="AZ20" s="38">
        <f>AR20/AW20</f>
        <v>2.175011071216133</v>
      </c>
      <c r="BB20" s="40">
        <v>3</v>
      </c>
      <c r="BC20" s="47">
        <f>BB20/(S20/R20)</f>
        <v>6.5559440559440558</v>
      </c>
      <c r="BE20" s="38">
        <f>(BB20*R20-T20)*V20/I20</f>
        <v>2.8534538460181387</v>
      </c>
      <c r="BF20" s="41">
        <f>BE20^(1/YEARFRAC(D20,$B$1))-1</f>
        <v>0.24700314232126352</v>
      </c>
      <c r="BH20" s="42">
        <f>BE20*I20</f>
        <v>11.413815384072555</v>
      </c>
      <c r="BJ20" s="44">
        <v>0</v>
      </c>
      <c r="BK20" s="45">
        <f>BJ20*I20</f>
        <v>0</v>
      </c>
      <c r="BL20" s="42">
        <f t="shared" si="5"/>
        <v>0</v>
      </c>
    </row>
    <row r="21" spans="2:64" x14ac:dyDescent="0.35">
      <c r="B21" s="1" t="s">
        <v>41</v>
      </c>
      <c r="C21" s="1"/>
      <c r="D21" s="2">
        <v>44501</v>
      </c>
      <c r="E21" s="24">
        <v>5</v>
      </c>
      <c r="F21" s="8" t="s">
        <v>26</v>
      </c>
      <c r="H21" s="11">
        <v>1</v>
      </c>
      <c r="I21" s="75">
        <f>+E21*H21</f>
        <v>5</v>
      </c>
      <c r="J21" s="22">
        <v>4.2700000000000002E-2</v>
      </c>
      <c r="K21" s="10">
        <f>+I21/J21</f>
        <v>117.09601873536299</v>
      </c>
      <c r="L21" s="10" t="s">
        <v>88</v>
      </c>
      <c r="N21" s="21">
        <v>4.3</v>
      </c>
      <c r="O21" s="30">
        <v>-8</v>
      </c>
      <c r="P21" s="30">
        <v>0</v>
      </c>
      <c r="R21" s="20">
        <v>62.5</v>
      </c>
      <c r="S21" s="20">
        <v>28.6</v>
      </c>
      <c r="T21" s="30">
        <v>10</v>
      </c>
      <c r="V21" s="16">
        <v>3.6309748084898327E-2</v>
      </c>
      <c r="Y21" s="93" t="s">
        <v>84</v>
      </c>
      <c r="Z21" s="93" t="s">
        <v>84</v>
      </c>
      <c r="AA21" s="93" t="s">
        <v>84</v>
      </c>
      <c r="AB21" s="95" t="s">
        <v>84</v>
      </c>
      <c r="AC21" s="95" t="s">
        <v>84</v>
      </c>
      <c r="AG21" s="93" t="s">
        <v>84</v>
      </c>
      <c r="AH21" s="93" t="s">
        <v>84</v>
      </c>
      <c r="AI21" s="95" t="s">
        <v>84</v>
      </c>
      <c r="AJ21" s="95" t="s">
        <v>84</v>
      </c>
      <c r="AL21" s="104" t="s">
        <v>84</v>
      </c>
      <c r="AO21" s="35">
        <f>K21+P21</f>
        <v>117.09601873536299</v>
      </c>
      <c r="AP21" s="33">
        <f t="shared" si="6"/>
        <v>27.231632264037906</v>
      </c>
      <c r="AR21" s="35">
        <f>I21/V21+P21</f>
        <v>137.70406746720343</v>
      </c>
      <c r="AS21" s="33">
        <f>+AR21/$N21</f>
        <v>32.024201736558936</v>
      </c>
      <c r="AU21" s="14">
        <f>(R21/N21)^(1/YEARFRAC(D21,$B$1))-1</f>
        <v>1.0101931962065676</v>
      </c>
      <c r="AV21" s="37">
        <f>O21</f>
        <v>-8</v>
      </c>
      <c r="AW21" s="37">
        <f>+S21</f>
        <v>28.6</v>
      </c>
      <c r="AY21" s="38">
        <f>AR21/R21</f>
        <v>2.2032650794752549</v>
      </c>
      <c r="AZ21" s="38">
        <f>AR21/AW21</f>
        <v>4.8148275338183018</v>
      </c>
      <c r="BB21" s="40">
        <v>3</v>
      </c>
      <c r="BC21" s="47">
        <f>BB21/(S21/R21)</f>
        <v>6.5559440559440558</v>
      </c>
      <c r="BE21" s="38">
        <f>(BB21*R21-T21)*V21/I21</f>
        <v>1.2889960570138908</v>
      </c>
      <c r="BF21" s="41">
        <f>BE21^(1/YEARFRAC(D21,$B$1))-1</f>
        <v>6.8467419940765106E-2</v>
      </c>
      <c r="BH21" s="42">
        <f>BE21*I21</f>
        <v>6.4449802850694535</v>
      </c>
      <c r="BJ21" s="44">
        <v>0</v>
      </c>
      <c r="BK21" s="45">
        <f>BJ21*I21</f>
        <v>0</v>
      </c>
      <c r="BL21" s="42">
        <f t="shared" si="5"/>
        <v>0</v>
      </c>
    </row>
    <row r="22" spans="2:64" x14ac:dyDescent="0.35">
      <c r="B22" s="4"/>
      <c r="C22" s="91"/>
      <c r="D22" s="91"/>
      <c r="E22" s="25"/>
      <c r="F22" s="25"/>
      <c r="H22" s="11"/>
      <c r="I22" s="75"/>
      <c r="J22" s="13"/>
      <c r="N22" s="25"/>
      <c r="O22" s="31"/>
      <c r="P22" s="31"/>
      <c r="R22" s="20"/>
      <c r="S22" s="20"/>
      <c r="T22" s="27"/>
      <c r="V22" s="13"/>
      <c r="Y22" s="93" t="s">
        <v>84</v>
      </c>
      <c r="Z22" s="93" t="s">
        <v>84</v>
      </c>
      <c r="AA22" s="93" t="s">
        <v>84</v>
      </c>
      <c r="AB22" s="95" t="s">
        <v>84</v>
      </c>
      <c r="AC22" s="95" t="s">
        <v>84</v>
      </c>
      <c r="AG22" s="93" t="s">
        <v>84</v>
      </c>
      <c r="AH22" s="93" t="s">
        <v>84</v>
      </c>
      <c r="AI22" s="95" t="s">
        <v>84</v>
      </c>
      <c r="AJ22" s="95" t="s">
        <v>84</v>
      </c>
      <c r="AL22" s="104" t="s">
        <v>84</v>
      </c>
      <c r="AO22" s="35"/>
      <c r="AR22" s="35"/>
      <c r="AV22" s="37"/>
      <c r="AW22" s="37"/>
      <c r="AY22" s="39"/>
      <c r="AZ22" s="39"/>
    </row>
    <row r="23" spans="2:64" x14ac:dyDescent="0.35">
      <c r="B23" s="1" t="s">
        <v>42</v>
      </c>
      <c r="C23" s="1"/>
      <c r="D23" s="2">
        <v>44409</v>
      </c>
      <c r="E23" s="24">
        <v>5.4</v>
      </c>
      <c r="F23" s="8" t="s">
        <v>30</v>
      </c>
      <c r="H23" s="11">
        <v>5.35</v>
      </c>
      <c r="I23" s="75">
        <f>+E23*H23</f>
        <v>28.89</v>
      </c>
      <c r="J23" s="22">
        <v>0.14630000000000001</v>
      </c>
      <c r="K23" s="10">
        <f>+I23/J23</f>
        <v>197.47095010252903</v>
      </c>
      <c r="L23" s="10" t="s">
        <v>88</v>
      </c>
      <c r="N23" s="21">
        <v>4</v>
      </c>
      <c r="O23" s="30">
        <v>-3</v>
      </c>
      <c r="P23" s="30">
        <v>0</v>
      </c>
      <c r="R23" s="20">
        <v>80</v>
      </c>
      <c r="S23" s="20">
        <v>30</v>
      </c>
      <c r="T23" s="30">
        <v>15</v>
      </c>
      <c r="V23" s="17">
        <v>0.11704000000000002</v>
      </c>
      <c r="Y23" s="93" t="s">
        <v>84</v>
      </c>
      <c r="Z23" s="93" t="s">
        <v>84</v>
      </c>
      <c r="AA23" s="93" t="s">
        <v>84</v>
      </c>
      <c r="AB23" s="95" t="s">
        <v>84</v>
      </c>
      <c r="AC23" s="95" t="s">
        <v>84</v>
      </c>
      <c r="AG23" s="9">
        <v>285</v>
      </c>
      <c r="AH23" s="9">
        <f>AG23+T23</f>
        <v>300</v>
      </c>
      <c r="AI23" s="94">
        <f>AH23/S23</f>
        <v>10</v>
      </c>
      <c r="AJ23" s="94">
        <f>AH23/R23</f>
        <v>3.75</v>
      </c>
      <c r="AK23" t="s">
        <v>94</v>
      </c>
      <c r="AL23" s="104" t="s">
        <v>84</v>
      </c>
      <c r="AO23" s="35">
        <f>K23+P23</f>
        <v>197.47095010252903</v>
      </c>
      <c r="AP23" s="33">
        <f t="shared" ref="AP23:AP24" si="7">+AO23/$N23</f>
        <v>49.367737525632258</v>
      </c>
      <c r="AR23" s="35">
        <f>I23/V23+P23</f>
        <v>246.83868762816127</v>
      </c>
      <c r="AS23" s="33">
        <f>+AR23/$N23</f>
        <v>61.709671907040317</v>
      </c>
      <c r="AU23" s="14">
        <f>(R23/N23)^(1/YEARFRAC(D23,$B$1))-1</f>
        <v>1.082665825654304</v>
      </c>
      <c r="AV23" s="37">
        <f>O23</f>
        <v>-3</v>
      </c>
      <c r="AW23" s="37">
        <f>+S23</f>
        <v>30</v>
      </c>
      <c r="AY23" s="38">
        <f>AR23/R23</f>
        <v>3.0854835953520157</v>
      </c>
      <c r="AZ23" s="38">
        <f>AR23/AW23</f>
        <v>8.2279562542720424</v>
      </c>
      <c r="BB23" s="40">
        <v>3</v>
      </c>
      <c r="BC23" s="47">
        <f>BB23/(S23/R23)</f>
        <v>8</v>
      </c>
      <c r="BE23" s="38">
        <f>(BB23*R23-T23)*V23/I23</f>
        <v>0.91152647975077894</v>
      </c>
      <c r="BF23" s="41">
        <f>BE23^(1/YEARFRAC(D23,$B$1))-1</f>
        <v>-2.2430639835159361E-2</v>
      </c>
      <c r="BH23" s="42">
        <f>BE23*I23</f>
        <v>26.334000000000003</v>
      </c>
      <c r="BJ23" s="44">
        <v>0</v>
      </c>
      <c r="BK23" s="45">
        <f>BJ23*I23</f>
        <v>0</v>
      </c>
      <c r="BL23" s="42">
        <f t="shared" si="5"/>
        <v>0</v>
      </c>
    </row>
    <row r="24" spans="2:64" x14ac:dyDescent="0.35">
      <c r="B24" s="6" t="s">
        <v>43</v>
      </c>
      <c r="C24" s="1"/>
      <c r="D24" s="2">
        <v>45658</v>
      </c>
      <c r="E24" s="24">
        <v>15</v>
      </c>
      <c r="F24" s="8" t="s">
        <v>26</v>
      </c>
      <c r="H24" s="11">
        <v>1</v>
      </c>
      <c r="I24" s="75">
        <f>+E24*H24</f>
        <v>15</v>
      </c>
      <c r="J24" s="22">
        <v>0.130435</v>
      </c>
      <c r="K24" s="10">
        <f>+I24/J24</f>
        <v>114.99980833365278</v>
      </c>
      <c r="L24" s="10" t="s">
        <v>88</v>
      </c>
      <c r="N24" s="21">
        <v>31.5</v>
      </c>
      <c r="O24" s="30">
        <v>30</v>
      </c>
      <c r="P24" s="30">
        <v>20</v>
      </c>
      <c r="R24" s="20">
        <v>80</v>
      </c>
      <c r="S24" s="20">
        <v>30</v>
      </c>
      <c r="T24" s="30">
        <v>15</v>
      </c>
      <c r="V24" s="17">
        <v>0.130435</v>
      </c>
      <c r="Y24" s="93" t="s">
        <v>84</v>
      </c>
      <c r="Z24" s="93" t="s">
        <v>84</v>
      </c>
      <c r="AA24" s="93" t="s">
        <v>84</v>
      </c>
      <c r="AB24" s="95" t="s">
        <v>84</v>
      </c>
      <c r="AC24" s="95" t="s">
        <v>84</v>
      </c>
      <c r="AG24" s="93" t="s">
        <v>84</v>
      </c>
      <c r="AH24" s="93" t="s">
        <v>84</v>
      </c>
      <c r="AI24" s="95" t="s">
        <v>84</v>
      </c>
      <c r="AJ24" s="95" t="s">
        <v>84</v>
      </c>
      <c r="AL24" s="104" t="s">
        <v>84</v>
      </c>
      <c r="AO24" s="35">
        <f>K24+P24</f>
        <v>134.99980833365277</v>
      </c>
      <c r="AP24" s="33">
        <f t="shared" si="7"/>
        <v>4.285708201068342</v>
      </c>
      <c r="AR24" s="35">
        <f>I24/V24+P24</f>
        <v>134.99980833365277</v>
      </c>
      <c r="AS24" s="33">
        <f>+AR24/$N24</f>
        <v>4.285708201068342</v>
      </c>
      <c r="AU24" s="14">
        <f>(R24/N24)^(1/YEARFRAC(D24,$B$1))-1</f>
        <v>3.0473349734074704</v>
      </c>
      <c r="AV24" s="37">
        <f>O24</f>
        <v>30</v>
      </c>
      <c r="AW24" s="37">
        <f>+S24</f>
        <v>30</v>
      </c>
      <c r="AY24" s="38">
        <f>AR24/R24</f>
        <v>1.6874976041706595</v>
      </c>
      <c r="AZ24" s="38">
        <f>AR24/AW24</f>
        <v>4.4999936111217584</v>
      </c>
      <c r="BB24" s="40">
        <v>3</v>
      </c>
      <c r="BC24" s="47">
        <f>BB24/(S24/R24)</f>
        <v>8</v>
      </c>
      <c r="BE24" s="38">
        <f>(BB24*R24-T24)*V24/I24</f>
        <v>1.9565249999999998</v>
      </c>
      <c r="BF24" s="41">
        <f>BE24^(1/YEARFRAC(D24,$B$1))-1</f>
        <v>1.7367057354988318</v>
      </c>
      <c r="BH24" s="42">
        <f>BE24*I24</f>
        <v>29.347874999999998</v>
      </c>
      <c r="BJ24" s="44">
        <v>0</v>
      </c>
      <c r="BK24" s="45">
        <f>BJ24*I24</f>
        <v>0</v>
      </c>
      <c r="BL24" s="42">
        <f t="shared" si="5"/>
        <v>0</v>
      </c>
    </row>
    <row r="25" spans="2:64" x14ac:dyDescent="0.35">
      <c r="B25" s="6"/>
      <c r="C25" s="90"/>
      <c r="D25" s="90"/>
      <c r="E25" s="25"/>
      <c r="F25" s="25"/>
      <c r="H25" s="11"/>
      <c r="I25" s="75"/>
      <c r="J25" s="13"/>
      <c r="N25" s="25"/>
      <c r="O25" s="31"/>
      <c r="P25" s="31"/>
      <c r="R25" s="20"/>
      <c r="S25" s="20"/>
      <c r="T25" s="27"/>
      <c r="V25" s="13"/>
      <c r="Y25" s="93" t="s">
        <v>84</v>
      </c>
      <c r="Z25" s="93" t="s">
        <v>84</v>
      </c>
      <c r="AA25" s="93" t="s">
        <v>84</v>
      </c>
      <c r="AB25" s="95" t="s">
        <v>84</v>
      </c>
      <c r="AC25" s="95" t="s">
        <v>84</v>
      </c>
      <c r="AG25" s="93" t="s">
        <v>84</v>
      </c>
      <c r="AH25" s="93" t="s">
        <v>84</v>
      </c>
      <c r="AI25" s="95" t="s">
        <v>84</v>
      </c>
      <c r="AJ25" s="95" t="s">
        <v>84</v>
      </c>
      <c r="AL25" s="104" t="s">
        <v>84</v>
      </c>
      <c r="AO25" s="35"/>
      <c r="AR25" s="35"/>
      <c r="AV25" s="37"/>
      <c r="AW25" s="37"/>
      <c r="AY25" s="39"/>
      <c r="AZ25" s="39"/>
    </row>
    <row r="26" spans="2:64" x14ac:dyDescent="0.35">
      <c r="B26" s="1" t="s">
        <v>44</v>
      </c>
      <c r="C26" s="1"/>
      <c r="D26" s="2">
        <v>44805</v>
      </c>
      <c r="E26" s="24">
        <v>12.5</v>
      </c>
      <c r="F26" s="7" t="s">
        <v>26</v>
      </c>
      <c r="H26" s="11">
        <v>1</v>
      </c>
      <c r="I26" s="75">
        <f>+E26*H26</f>
        <v>12.5</v>
      </c>
      <c r="J26" s="22">
        <v>9.0899999999999995E-2</v>
      </c>
      <c r="K26" s="10">
        <f>+I26/J26</f>
        <v>137.51375137513753</v>
      </c>
      <c r="L26" s="10" t="s">
        <v>82</v>
      </c>
      <c r="N26" s="21">
        <v>36</v>
      </c>
      <c r="O26" s="30">
        <v>-1</v>
      </c>
      <c r="P26" s="30">
        <v>3</v>
      </c>
      <c r="R26" s="20">
        <v>140</v>
      </c>
      <c r="S26" s="20">
        <v>23</v>
      </c>
      <c r="T26" s="30">
        <v>7</v>
      </c>
      <c r="V26" s="18">
        <v>9.0899999999999995E-2</v>
      </c>
      <c r="Y26" s="99">
        <v>19.399999999999999</v>
      </c>
      <c r="Z26" s="97">
        <f>Y26/9.09%</f>
        <v>213.4213421342134</v>
      </c>
      <c r="AA26" s="97">
        <f>Z26+T26</f>
        <v>220.4213421342134</v>
      </c>
      <c r="AB26" s="98">
        <f>AA26/S26</f>
        <v>9.5835366145310168</v>
      </c>
      <c r="AC26" s="98">
        <f>AA26/R26</f>
        <v>1.5744381581015243</v>
      </c>
      <c r="AD26" s="98">
        <f>Y26/I26</f>
        <v>1.5519999999999998</v>
      </c>
      <c r="AE26" s="101">
        <f>(AD26^(1/((45878-$D26)/365))-1)</f>
        <v>0.1612753475429507</v>
      </c>
      <c r="AG26" s="9">
        <v>225</v>
      </c>
      <c r="AH26" s="9">
        <f>AG26+T26</f>
        <v>232</v>
      </c>
      <c r="AI26" s="94">
        <f>AH26/S26</f>
        <v>10.086956521739131</v>
      </c>
      <c r="AJ26" s="94">
        <f>AH26/R26</f>
        <v>1.6571428571428573</v>
      </c>
      <c r="AK26" t="s">
        <v>96</v>
      </c>
      <c r="AL26" s="102">
        <f>AG26*V26</f>
        <v>20.452500000000001</v>
      </c>
      <c r="AO26" s="35">
        <f>K26+P26</f>
        <v>140.51375137513753</v>
      </c>
      <c r="AP26" s="33">
        <f>+AO26/$N26</f>
        <v>3.9031597604204871</v>
      </c>
      <c r="AR26" s="35">
        <f>I26/V26+P26</f>
        <v>140.51375137513753</v>
      </c>
      <c r="AS26" s="33">
        <f>+AR26/$N26</f>
        <v>3.9031597604204871</v>
      </c>
      <c r="AU26" s="14">
        <f>(R26/N26)^(1/YEARFRAC(D26,$B$1))-1</f>
        <v>0.57256466010551121</v>
      </c>
      <c r="AV26" s="37">
        <f>O26</f>
        <v>-1</v>
      </c>
      <c r="AW26" s="37">
        <f>+S26</f>
        <v>23</v>
      </c>
      <c r="AY26" s="38">
        <f>AR26/R26</f>
        <v>1.0036696526795539</v>
      </c>
      <c r="AZ26" s="38">
        <f>AR26/AW26</f>
        <v>6.1092935380494575</v>
      </c>
      <c r="BB26" s="40">
        <v>2.5</v>
      </c>
      <c r="BC26" s="47">
        <f>BB26/(S26/R26)</f>
        <v>15.217391304347826</v>
      </c>
      <c r="BE26" s="38">
        <f>(BB26*R26-T26)*V26/I26</f>
        <v>2.4942959999999998</v>
      </c>
      <c r="BF26" s="41">
        <f>BE26^(1/YEARFRAC(D26,$B$1))-1</f>
        <v>0.35617581973743362</v>
      </c>
      <c r="BH26" s="42">
        <f>BE26*I26</f>
        <v>31.178699999999999</v>
      </c>
      <c r="BJ26" s="44">
        <v>1</v>
      </c>
      <c r="BK26" s="45">
        <f>BJ26*I26</f>
        <v>12.5</v>
      </c>
      <c r="BL26" s="42">
        <f t="shared" si="5"/>
        <v>31.178699999999999</v>
      </c>
    </row>
    <row r="27" spans="2:64" x14ac:dyDescent="0.35">
      <c r="B27" s="5"/>
      <c r="C27" s="91"/>
      <c r="D27" s="91"/>
      <c r="E27" s="25"/>
      <c r="F27" s="25"/>
      <c r="H27" s="11"/>
      <c r="I27" s="75"/>
      <c r="J27" s="13"/>
      <c r="N27" s="25"/>
      <c r="O27" s="31"/>
      <c r="P27" s="31"/>
      <c r="R27" s="20"/>
      <c r="S27" s="20"/>
      <c r="T27" s="27"/>
      <c r="V27" s="13"/>
      <c r="Y27" s="93" t="s">
        <v>84</v>
      </c>
      <c r="Z27" s="93" t="s">
        <v>84</v>
      </c>
      <c r="AA27" s="93" t="s">
        <v>84</v>
      </c>
      <c r="AB27" s="95" t="s">
        <v>84</v>
      </c>
      <c r="AC27" s="95" t="s">
        <v>84</v>
      </c>
      <c r="AG27" s="93" t="s">
        <v>84</v>
      </c>
      <c r="AH27" s="93" t="s">
        <v>84</v>
      </c>
      <c r="AI27" s="95" t="s">
        <v>84</v>
      </c>
      <c r="AJ27" s="95" t="s">
        <v>84</v>
      </c>
      <c r="AL27" s="104" t="s">
        <v>84</v>
      </c>
      <c r="AO27" s="35"/>
      <c r="AR27" s="35"/>
      <c r="AV27" s="37"/>
      <c r="AW27" s="37"/>
      <c r="AY27" s="39"/>
      <c r="AZ27" s="39"/>
    </row>
    <row r="28" spans="2:64" x14ac:dyDescent="0.35">
      <c r="B28" s="1" t="s">
        <v>45</v>
      </c>
      <c r="C28" s="1"/>
      <c r="D28" s="2">
        <v>45383</v>
      </c>
      <c r="E28" s="24">
        <v>12.5</v>
      </c>
      <c r="F28" s="7" t="s">
        <v>26</v>
      </c>
      <c r="H28" s="11">
        <v>1</v>
      </c>
      <c r="I28" s="75">
        <f>+E28*H28</f>
        <v>12.5</v>
      </c>
      <c r="J28" s="22" t="s">
        <v>46</v>
      </c>
      <c r="K28" s="10" t="s">
        <v>27</v>
      </c>
      <c r="L28" s="10" t="s">
        <v>82</v>
      </c>
      <c r="N28" s="21">
        <v>5</v>
      </c>
      <c r="O28" s="32">
        <v>-8.9190000000000005</v>
      </c>
      <c r="P28" s="32">
        <v>6.1740000000000004</v>
      </c>
      <c r="R28" s="20">
        <f>3.325*4</f>
        <v>13.3</v>
      </c>
      <c r="S28" s="20">
        <v>5</v>
      </c>
      <c r="T28" s="30">
        <v>12</v>
      </c>
      <c r="V28" s="18">
        <f>+I28/(5*S28)</f>
        <v>0.5</v>
      </c>
      <c r="Y28" s="99">
        <v>13</v>
      </c>
      <c r="Z28" s="97">
        <f>Y28/V28</f>
        <v>26</v>
      </c>
      <c r="AA28" s="97">
        <f>Z28+T28</f>
        <v>38</v>
      </c>
      <c r="AB28" s="98">
        <f>AA28/S28</f>
        <v>7.6</v>
      </c>
      <c r="AC28" s="98">
        <f>AA28/R28</f>
        <v>2.8571428571428572</v>
      </c>
      <c r="AD28" s="98">
        <f>Y28/I28</f>
        <v>1.04</v>
      </c>
      <c r="AE28" s="101">
        <f>(AD28^(1/((45878-$D28)/365))-1)</f>
        <v>2.934257714419708E-2</v>
      </c>
      <c r="AG28" s="9">
        <v>47.142857142857125</v>
      </c>
      <c r="AH28" s="9">
        <f>AG28+T28</f>
        <v>59.142857142857125</v>
      </c>
      <c r="AI28" s="94">
        <f>AH28/S28</f>
        <v>11.828571428571426</v>
      </c>
      <c r="AJ28" s="94">
        <f>AH28/R28</f>
        <v>4.4468313641245958</v>
      </c>
      <c r="AK28" t="s">
        <v>97</v>
      </c>
      <c r="AL28" s="102">
        <f>AG28*V28</f>
        <v>23.571428571428562</v>
      </c>
      <c r="AO28" s="35">
        <f>5*AW28</f>
        <v>25</v>
      </c>
      <c r="AP28" s="33">
        <f t="shared" ref="AP28:AP29" si="8">+AO28/$N28</f>
        <v>5</v>
      </c>
      <c r="AR28" s="35">
        <f>AO28</f>
        <v>25</v>
      </c>
      <c r="AS28" s="33">
        <f>+AR28/$N28</f>
        <v>5</v>
      </c>
      <c r="AU28" s="14">
        <f>(R28/N28)^(1/YEARFRAC(D28,$B$1))-1</f>
        <v>0.99487849854333987</v>
      </c>
      <c r="AV28" s="37">
        <f>O28</f>
        <v>-8.9190000000000005</v>
      </c>
      <c r="AW28" s="37">
        <f>+S28</f>
        <v>5</v>
      </c>
      <c r="AY28" s="38">
        <f>AR28/R28</f>
        <v>1.8796992481203008</v>
      </c>
      <c r="AZ28" s="38">
        <f>AR28/AW28</f>
        <v>5</v>
      </c>
      <c r="BB28" s="40">
        <v>3</v>
      </c>
      <c r="BC28" s="47">
        <f>BB28/(S28/R28)</f>
        <v>7.98</v>
      </c>
      <c r="BE28" s="38">
        <f>(BB28*R28-T28)*V28/I28</f>
        <v>1.1160000000000003</v>
      </c>
      <c r="BF28" s="41">
        <f>BE28^(1/YEARFRAC(D28,$B$1))-1</f>
        <v>8.0551110073239895E-2</v>
      </c>
      <c r="BH28" s="42">
        <f>BE28*I28</f>
        <v>13.950000000000005</v>
      </c>
      <c r="BJ28" s="44">
        <v>1</v>
      </c>
      <c r="BK28" s="45">
        <f>BJ28*I28</f>
        <v>12.5</v>
      </c>
      <c r="BL28" s="42">
        <f t="shared" si="5"/>
        <v>13.950000000000005</v>
      </c>
    </row>
    <row r="29" spans="2:64" x14ac:dyDescent="0.35">
      <c r="B29" s="1" t="s">
        <v>47</v>
      </c>
      <c r="C29" s="1"/>
      <c r="D29" s="2">
        <v>45689</v>
      </c>
      <c r="E29" s="24">
        <v>3.5</v>
      </c>
      <c r="F29" s="8" t="s">
        <v>26</v>
      </c>
      <c r="H29" s="11">
        <v>1</v>
      </c>
      <c r="I29" s="75">
        <f>+E29*H29</f>
        <v>3.5</v>
      </c>
      <c r="J29" s="22" t="s">
        <v>46</v>
      </c>
      <c r="K29" s="10" t="s">
        <v>27</v>
      </c>
      <c r="L29" s="10" t="s">
        <v>81</v>
      </c>
      <c r="N29" s="21">
        <f>2.138*4</f>
        <v>8.5519999999999996</v>
      </c>
      <c r="O29" s="30">
        <v>-4.0999999999999996</v>
      </c>
      <c r="P29" s="32">
        <v>5.3170000000000002</v>
      </c>
      <c r="R29" s="20">
        <f>3.325*4</f>
        <v>13.3</v>
      </c>
      <c r="S29" s="20">
        <v>5</v>
      </c>
      <c r="T29" s="30">
        <v>12</v>
      </c>
      <c r="V29" s="18">
        <f>+I29/(5*S29)</f>
        <v>0.14000000000000001</v>
      </c>
      <c r="Y29" s="93" t="s">
        <v>84</v>
      </c>
      <c r="Z29" s="93" t="s">
        <v>84</v>
      </c>
      <c r="AA29" s="93" t="s">
        <v>84</v>
      </c>
      <c r="AB29" s="95" t="s">
        <v>84</v>
      </c>
      <c r="AC29" s="95" t="s">
        <v>84</v>
      </c>
      <c r="AG29" s="93" t="s">
        <v>84</v>
      </c>
      <c r="AH29" s="93" t="s">
        <v>84</v>
      </c>
      <c r="AI29" s="95" t="s">
        <v>84</v>
      </c>
      <c r="AJ29" s="95" t="s">
        <v>84</v>
      </c>
      <c r="AL29" s="104" t="s">
        <v>84</v>
      </c>
      <c r="AO29" s="35">
        <f>5*AW29</f>
        <v>25</v>
      </c>
      <c r="AP29" s="33">
        <f t="shared" si="8"/>
        <v>2.9232927970065483</v>
      </c>
      <c r="AR29" s="35">
        <f>AO29</f>
        <v>25</v>
      </c>
      <c r="AS29" s="33">
        <f>+AR29/$N29</f>
        <v>2.9232927970065483</v>
      </c>
      <c r="AU29" s="14">
        <f>(R29/N29)^(1/YEARFRAC(D29,$B$1))-1</f>
        <v>1.1319277550338032</v>
      </c>
      <c r="AV29" s="37">
        <f>O29</f>
        <v>-4.0999999999999996</v>
      </c>
      <c r="AW29" s="37">
        <f>+S29</f>
        <v>5</v>
      </c>
      <c r="AY29" s="38">
        <f>AR29/R29</f>
        <v>1.8796992481203008</v>
      </c>
      <c r="AZ29" s="38">
        <f>AR29/AW29</f>
        <v>5</v>
      </c>
      <c r="BB29" s="40">
        <v>3</v>
      </c>
      <c r="BC29" s="47">
        <f>BB29/(S29/R29)</f>
        <v>7.98</v>
      </c>
      <c r="BE29" s="38">
        <f>(BB29*R29-T29)*V29/I29</f>
        <v>1.1160000000000003</v>
      </c>
      <c r="BF29" s="41">
        <f>BE29^(1/YEARFRAC(D29,$B$1))-1</f>
        <v>0.20700772011767765</v>
      </c>
      <c r="BH29" s="42">
        <f>BE29*I29</f>
        <v>3.906000000000001</v>
      </c>
      <c r="BJ29" s="44">
        <v>1</v>
      </c>
      <c r="BK29" s="45">
        <f>BJ29*I29</f>
        <v>3.5</v>
      </c>
      <c r="BL29" s="42">
        <f t="shared" si="5"/>
        <v>3.906000000000001</v>
      </c>
    </row>
    <row r="30" spans="2:64" x14ac:dyDescent="0.35">
      <c r="B30" s="4"/>
      <c r="C30" s="91"/>
      <c r="D30" s="91"/>
      <c r="E30" s="25"/>
      <c r="F30" s="25"/>
      <c r="H30" s="11"/>
      <c r="I30" s="75"/>
      <c r="J30" s="13"/>
      <c r="N30" s="25"/>
      <c r="O30" s="31"/>
      <c r="P30" s="31"/>
      <c r="R30" s="20"/>
      <c r="S30" s="20"/>
      <c r="T30" s="27"/>
      <c r="V30" s="13"/>
      <c r="Y30" s="93" t="s">
        <v>84</v>
      </c>
      <c r="Z30" s="93" t="s">
        <v>84</v>
      </c>
      <c r="AA30" s="93" t="s">
        <v>84</v>
      </c>
      <c r="AB30" s="95" t="s">
        <v>84</v>
      </c>
      <c r="AC30" s="95" t="s">
        <v>84</v>
      </c>
      <c r="AG30" s="93" t="s">
        <v>84</v>
      </c>
      <c r="AH30" s="93" t="s">
        <v>84</v>
      </c>
      <c r="AI30" s="95" t="s">
        <v>84</v>
      </c>
      <c r="AJ30" s="95" t="s">
        <v>84</v>
      </c>
      <c r="AL30" s="104" t="s">
        <v>84</v>
      </c>
      <c r="AO30" s="35"/>
      <c r="AR30" s="35"/>
      <c r="AV30" s="37"/>
      <c r="AW30" s="37"/>
      <c r="AY30" s="39"/>
      <c r="AZ30" s="39"/>
    </row>
    <row r="31" spans="2:64" x14ac:dyDescent="0.35">
      <c r="B31" s="1" t="s">
        <v>48</v>
      </c>
      <c r="C31" s="1"/>
      <c r="D31" s="2">
        <v>45505</v>
      </c>
      <c r="E31" s="24">
        <v>12.5</v>
      </c>
      <c r="F31" s="7" t="s">
        <v>26</v>
      </c>
      <c r="H31" s="11">
        <v>1</v>
      </c>
      <c r="I31" s="75">
        <f>+E31*H31</f>
        <v>12.5</v>
      </c>
      <c r="J31" s="22">
        <v>0.37804771982721097</v>
      </c>
      <c r="K31" s="10">
        <f>+I31/J31</f>
        <v>33.064608895705554</v>
      </c>
      <c r="L31" s="10" t="s">
        <v>82</v>
      </c>
      <c r="N31" s="21">
        <v>16</v>
      </c>
      <c r="O31" s="30">
        <v>-6</v>
      </c>
      <c r="P31" s="30">
        <v>50</v>
      </c>
      <c r="R31" s="20">
        <f>11.284*4</f>
        <v>45.136000000000003</v>
      </c>
      <c r="S31" s="20">
        <v>2</v>
      </c>
      <c r="T31" s="30">
        <v>37</v>
      </c>
      <c r="V31" s="18">
        <v>0.35599999999999998</v>
      </c>
      <c r="Y31" s="99">
        <v>12.5</v>
      </c>
      <c r="Z31" s="97">
        <f>Y31/45.6%</f>
        <v>27.412280701754383</v>
      </c>
      <c r="AA31" s="97">
        <f>Z31+T31</f>
        <v>64.412280701754383</v>
      </c>
      <c r="AB31" s="98">
        <f>AA31/S31</f>
        <v>32.206140350877192</v>
      </c>
      <c r="AC31" s="98">
        <f>AA31/R31</f>
        <v>1.4270710896347567</v>
      </c>
      <c r="AD31" s="98">
        <f>Y31/I31</f>
        <v>1</v>
      </c>
      <c r="AE31" s="101">
        <f>(AD31^(1/((45878-$D31)/365))-1)</f>
        <v>0</v>
      </c>
      <c r="AG31" s="9">
        <v>33.06460889570554</v>
      </c>
      <c r="AH31" s="9">
        <f>AG31+T31</f>
        <v>70.064608895705533</v>
      </c>
      <c r="AI31" s="94">
        <f>AH31/S31</f>
        <v>35.032304447852766</v>
      </c>
      <c r="AJ31" s="94">
        <f>AH31/R31</f>
        <v>1.5522999134993249</v>
      </c>
      <c r="AK31" t="s">
        <v>97</v>
      </c>
      <c r="AL31" s="102">
        <f>AG31*V31</f>
        <v>11.771000766871172</v>
      </c>
      <c r="AO31" s="35">
        <f>K31+P31</f>
        <v>83.064608895705561</v>
      </c>
      <c r="AP31" s="33">
        <f t="shared" ref="AP31:AP32" si="9">+AO31/$N31</f>
        <v>5.1915380559815976</v>
      </c>
      <c r="AR31" s="35">
        <f>I31/V31+P31</f>
        <v>85.112359550561791</v>
      </c>
      <c r="AS31" s="33">
        <f>+AR31/$N31</f>
        <v>5.319522471910112</v>
      </c>
      <c r="AU31" s="14">
        <f>(R31/N31)^(1/YEARFRAC(D31,$B$1))-1</f>
        <v>1.6046939117620047</v>
      </c>
      <c r="AV31" s="37">
        <f>O31</f>
        <v>-6</v>
      </c>
      <c r="AW31" s="37">
        <f>+S31</f>
        <v>2</v>
      </c>
      <c r="AY31" s="38">
        <f>AR31/R31</f>
        <v>1.885686803229391</v>
      </c>
      <c r="AZ31" s="38">
        <f>AR31/AW31</f>
        <v>42.556179775280896</v>
      </c>
      <c r="BB31" s="40">
        <v>2</v>
      </c>
      <c r="BC31" s="47">
        <f>BB31/(S31/R31)</f>
        <v>45.136000000000003</v>
      </c>
      <c r="BE31" s="38">
        <f>(BB31*R31-T31)*V31/I31</f>
        <v>1.5171865600000001</v>
      </c>
      <c r="BF31" s="41">
        <f>BE31^(1/YEARFRAC(D31,$B$1))-1</f>
        <v>0.4693082290911581</v>
      </c>
      <c r="BH31" s="42">
        <f>BE31*I31</f>
        <v>18.964832000000001</v>
      </c>
      <c r="BJ31" s="44">
        <v>1</v>
      </c>
      <c r="BK31" s="45">
        <f>BJ31*I31</f>
        <v>12.5</v>
      </c>
      <c r="BL31" s="42">
        <f t="shared" si="5"/>
        <v>18.964832000000001</v>
      </c>
    </row>
    <row r="32" spans="2:64" x14ac:dyDescent="0.35">
      <c r="B32" s="6" t="s">
        <v>49</v>
      </c>
      <c r="C32" s="1"/>
      <c r="D32" s="2">
        <v>45748</v>
      </c>
      <c r="E32" s="24">
        <v>0.9</v>
      </c>
      <c r="F32" s="8" t="s">
        <v>30</v>
      </c>
      <c r="H32" s="11">
        <v>5.85</v>
      </c>
      <c r="I32" s="75">
        <f>+E32*H32</f>
        <v>5.2649999999999997</v>
      </c>
      <c r="J32" s="22">
        <v>0.14355228017278848</v>
      </c>
      <c r="K32" s="10">
        <f>+I32/J32</f>
        <v>36.676533411121838</v>
      </c>
      <c r="L32" s="10" t="s">
        <v>81</v>
      </c>
      <c r="N32" s="21">
        <v>35</v>
      </c>
      <c r="O32" s="30">
        <v>2</v>
      </c>
      <c r="P32" s="30">
        <v>37</v>
      </c>
      <c r="R32" s="20">
        <f>11.284*4</f>
        <v>45.136000000000003</v>
      </c>
      <c r="S32" s="20">
        <v>2</v>
      </c>
      <c r="T32" s="30">
        <v>37</v>
      </c>
      <c r="V32" s="17">
        <v>0.14355228017278848</v>
      </c>
      <c r="Y32" s="93" t="s">
        <v>84</v>
      </c>
      <c r="Z32" s="93" t="s">
        <v>84</v>
      </c>
      <c r="AA32" s="93" t="s">
        <v>84</v>
      </c>
      <c r="AB32" s="95" t="s">
        <v>84</v>
      </c>
      <c r="AC32" s="95" t="s">
        <v>84</v>
      </c>
      <c r="AG32" s="93" t="s">
        <v>84</v>
      </c>
      <c r="AH32" s="93" t="s">
        <v>84</v>
      </c>
      <c r="AI32" s="95" t="s">
        <v>84</v>
      </c>
      <c r="AJ32" s="95" t="s">
        <v>84</v>
      </c>
      <c r="AO32" s="35">
        <f>K32+P32</f>
        <v>73.676533411121838</v>
      </c>
      <c r="AP32" s="33">
        <f t="shared" si="9"/>
        <v>2.1050438117463384</v>
      </c>
      <c r="AR32" s="35">
        <f>I32/V32+P32</f>
        <v>73.676533411121838</v>
      </c>
      <c r="AS32" s="33">
        <f>+AR32/$N32</f>
        <v>2.1050438117463384</v>
      </c>
      <c r="AU32" s="14">
        <f>(R32/N32)^(1/YEARFRAC(D32,$B$1))-1</f>
        <v>0.84116223680006885</v>
      </c>
      <c r="AV32" s="37">
        <f>O32</f>
        <v>2</v>
      </c>
      <c r="AW32" s="37">
        <f>+S32</f>
        <v>2</v>
      </c>
      <c r="AY32" s="38">
        <f>AR32/R32</f>
        <v>1.63232305501422</v>
      </c>
      <c r="AZ32" s="38">
        <f>AR32/AW32</f>
        <v>36.838266705560919</v>
      </c>
      <c r="BB32" s="40">
        <v>2</v>
      </c>
      <c r="BC32" s="47">
        <f>BB32/(S32/R32)</f>
        <v>45.136000000000003</v>
      </c>
      <c r="BE32" s="38">
        <f>(BB32*R32-T32)*V32/I32</f>
        <v>1.4524818745232269</v>
      </c>
      <c r="BF32" s="41">
        <f>BE32^(1/YEARFRAC(D32,$B$1))-1</f>
        <v>1.4494339426507774</v>
      </c>
      <c r="BH32" s="42">
        <f>BE32*I32</f>
        <v>7.6473170693647887</v>
      </c>
      <c r="BJ32" s="44">
        <v>1</v>
      </c>
      <c r="BK32" s="45">
        <f>BJ32*I32</f>
        <v>5.2649999999999997</v>
      </c>
      <c r="BL32" s="42">
        <f t="shared" ref="BL32" si="10">BJ32*BH32</f>
        <v>7.6473170693647887</v>
      </c>
    </row>
    <row r="33" spans="2:165" x14ac:dyDescent="0.35">
      <c r="B33" s="6"/>
      <c r="C33" s="1"/>
      <c r="D33" s="2"/>
      <c r="E33" s="24"/>
      <c r="F33" s="8"/>
      <c r="H33" s="11"/>
      <c r="I33" s="75"/>
      <c r="J33" s="22"/>
      <c r="N33" s="21"/>
      <c r="O33" s="30"/>
      <c r="P33" s="30"/>
      <c r="R33" s="20"/>
      <c r="S33" s="20"/>
      <c r="T33" s="30"/>
      <c r="V33" s="17"/>
      <c r="AO33" s="35"/>
      <c r="AP33" s="33"/>
      <c r="AR33" s="35"/>
      <c r="AS33" s="33"/>
      <c r="AU33" s="14"/>
      <c r="AV33" s="37"/>
      <c r="AW33" s="37"/>
      <c r="AY33" s="38"/>
      <c r="AZ33" s="38"/>
      <c r="BB33" s="40"/>
      <c r="BC33" s="40"/>
      <c r="BE33" s="38"/>
      <c r="BF33" s="41"/>
      <c r="BH33" s="42"/>
      <c r="BJ33" s="44"/>
      <c r="BK33" s="45"/>
    </row>
    <row r="34" spans="2:165" x14ac:dyDescent="0.35">
      <c r="Y34" s="100">
        <f>SUM(Y4:Y32)</f>
        <v>84.8</v>
      </c>
      <c r="Z34" s="100">
        <f>SUM(Z4:Z32)</f>
        <v>720.75853751173577</v>
      </c>
      <c r="AA34" s="100">
        <f t="shared" ref="AA34:AE34" si="11">SUM(AA4:AA32)</f>
        <v>886.75853751173577</v>
      </c>
      <c r="AB34" s="100">
        <f t="shared" si="11"/>
        <v>59.642857232240353</v>
      </c>
      <c r="AC34" s="100">
        <f t="shared" si="11"/>
        <v>7.1701053948227838</v>
      </c>
      <c r="AD34" s="100">
        <f t="shared" ref="AD34" si="12">SUM(AD4:AD32)</f>
        <v>6.5475555555555554</v>
      </c>
      <c r="AE34" s="100">
        <f t="shared" si="11"/>
        <v>0.93898151379123007</v>
      </c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</row>
    <row r="35" spans="2:165" s="26" customFormat="1" x14ac:dyDescent="0.35">
      <c r="B35" s="82" t="s">
        <v>83</v>
      </c>
      <c r="D35" s="26" t="s">
        <v>84</v>
      </c>
      <c r="E35" s="83"/>
      <c r="H35" s="10"/>
      <c r="I35" s="76">
        <f>SUBTOTAL(109,I4:I32)</f>
        <v>177.51349999999996</v>
      </c>
      <c r="J35" s="26" t="s">
        <v>84</v>
      </c>
      <c r="K35" s="76">
        <f>SUBTOTAL(109,K4:K32)</f>
        <v>4252.4129289354478</v>
      </c>
      <c r="L35" s="26" t="s">
        <v>84</v>
      </c>
      <c r="N35" s="76">
        <f t="shared" ref="N35:P35" si="13">SUBTOTAL(109,N4:N32)</f>
        <v>936.05199999999991</v>
      </c>
      <c r="O35" s="76">
        <f t="shared" si="13"/>
        <v>-80.718999999999994</v>
      </c>
      <c r="P35" s="76">
        <f t="shared" si="13"/>
        <v>155.49099999999999</v>
      </c>
      <c r="R35" s="76">
        <f t="shared" ref="R35:T35" si="14">SUBTOTAL(109,R4:R32)</f>
        <v>5471.1220000000012</v>
      </c>
      <c r="S35" s="76">
        <f t="shared" si="14"/>
        <v>719.53200000000004</v>
      </c>
      <c r="T35" s="76">
        <f t="shared" si="14"/>
        <v>696</v>
      </c>
      <c r="V35" s="26" t="s">
        <v>84</v>
      </c>
      <c r="AF35"/>
      <c r="AO35" s="76">
        <f>SUBTOTAL(109,AO4:AO32)</f>
        <v>4446.4129289354478</v>
      </c>
      <c r="AP35" s="33">
        <f t="shared" ref="AP35:AP38" si="15">+AO35/$N35</f>
        <v>4.7501772646556475</v>
      </c>
      <c r="AR35" s="76">
        <f>SUBTOTAL(109,AR4:AR32)</f>
        <v>5452.2315601113887</v>
      </c>
      <c r="AS35" s="33">
        <f>+AR35/$N35</f>
        <v>5.8247101230608864</v>
      </c>
      <c r="AU35" s="85" t="s">
        <v>84</v>
      </c>
      <c r="AV35" s="76">
        <f>SUBTOTAL(109,AV4:AV32)</f>
        <v>-80.718999999999994</v>
      </c>
      <c r="AW35" s="76">
        <f>SUBTOTAL(109,AW4:AW32)</f>
        <v>719.53200000000004</v>
      </c>
      <c r="AY35" s="38">
        <f>AR35/R35</f>
        <v>0.99654724572242903</v>
      </c>
      <c r="AZ35" s="38">
        <f>AR35/AW35</f>
        <v>7.5774691884605385</v>
      </c>
      <c r="BB35" s="26" t="s">
        <v>84</v>
      </c>
      <c r="BC35" s="26" t="s">
        <v>84</v>
      </c>
      <c r="BE35" s="26" t="s">
        <v>84</v>
      </c>
      <c r="BF35" s="26" t="s">
        <v>84</v>
      </c>
      <c r="BH35" s="76">
        <f>SUBTOTAL(109,BH4:BH32)</f>
        <v>653.6997170008932</v>
      </c>
      <c r="BJ35" s="84">
        <f>SUBTOTAL(109,BJ4:BJ32)</f>
        <v>7</v>
      </c>
      <c r="BK35" s="76">
        <f>SUBTOTAL(109,BK4:BK32)</f>
        <v>69.445000000000007</v>
      </c>
      <c r="BL35" s="76">
        <f>SUBTOTAL(109,BL4:BL32)</f>
        <v>172.41179336545463</v>
      </c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</row>
    <row r="36" spans="2:165" s="65" customFormat="1" x14ac:dyDescent="0.35">
      <c r="B36" s="81" t="s">
        <v>75</v>
      </c>
      <c r="D36" s="65" t="s">
        <v>84</v>
      </c>
      <c r="E36" s="80"/>
      <c r="H36" s="79"/>
      <c r="I36" s="77">
        <f>SUM(I4:I32)</f>
        <v>177.51349999999996</v>
      </c>
      <c r="J36" s="65" t="s">
        <v>84</v>
      </c>
      <c r="K36" s="77">
        <f>SUM(K4:K32)</f>
        <v>4252.4129289354478</v>
      </c>
      <c r="L36" s="65" t="s">
        <v>84</v>
      </c>
      <c r="N36" s="77">
        <f>SUM(N4:N32)</f>
        <v>936.05199999999991</v>
      </c>
      <c r="O36" s="77">
        <f>SUM(O4:O32)</f>
        <v>-80.718999999999994</v>
      </c>
      <c r="P36" s="77">
        <f>SUM(P4:P32)</f>
        <v>155.49099999999999</v>
      </c>
      <c r="R36" s="77">
        <f>SUM(R4:R32)</f>
        <v>5471.1220000000012</v>
      </c>
      <c r="S36" s="77">
        <f>SUM(S4:S32)</f>
        <v>719.53200000000004</v>
      </c>
      <c r="T36" s="77">
        <f>SUM(T4:T32)</f>
        <v>696</v>
      </c>
      <c r="V36" s="65" t="s">
        <v>84</v>
      </c>
      <c r="AF36"/>
      <c r="AO36" s="77">
        <f>SUM(AO4:AO32)</f>
        <v>4446.4129289354478</v>
      </c>
      <c r="AP36" s="69">
        <f t="shared" si="15"/>
        <v>4.7501772646556475</v>
      </c>
      <c r="AR36" s="77">
        <f>SUM(AR4:AR32)</f>
        <v>5452.2315601113887</v>
      </c>
      <c r="AS36" s="69">
        <f t="shared" ref="AS36:AS39" si="16">+AR36/$N36</f>
        <v>5.8247101230608864</v>
      </c>
      <c r="AU36" s="70" t="s">
        <v>84</v>
      </c>
      <c r="AV36" s="77">
        <f t="shared" ref="AV36:AW36" si="17">SUM(AV4:AV32)</f>
        <v>-80.718999999999994</v>
      </c>
      <c r="AW36" s="77">
        <f t="shared" si="17"/>
        <v>719.53200000000004</v>
      </c>
      <c r="AY36" s="87">
        <f>AR36/R36</f>
        <v>0.99654724572242903</v>
      </c>
      <c r="AZ36" s="87">
        <f t="shared" ref="AZ36:AZ38" si="18">AR36/AW36</f>
        <v>7.5774691884605385</v>
      </c>
      <c r="BB36" s="26" t="s">
        <v>84</v>
      </c>
      <c r="BC36" s="26" t="s">
        <v>84</v>
      </c>
      <c r="BD36" s="26"/>
      <c r="BE36" s="26" t="s">
        <v>84</v>
      </c>
      <c r="BF36" s="26" t="s">
        <v>84</v>
      </c>
      <c r="BH36" s="77">
        <f>SUM(BH4:BH32)</f>
        <v>653.6997170008932</v>
      </c>
      <c r="BJ36" s="86">
        <f>SUM(BJ4:BJ32)</f>
        <v>7</v>
      </c>
      <c r="BK36" s="77">
        <f t="shared" ref="BK36:BL36" si="19">SUM(BK4:BK32)</f>
        <v>69.445000000000007</v>
      </c>
      <c r="BL36" s="77">
        <f t="shared" si="19"/>
        <v>172.41179336545463</v>
      </c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</row>
    <row r="37" spans="2:165" s="26" customFormat="1" x14ac:dyDescent="0.35">
      <c r="B37" s="82" t="s">
        <v>88</v>
      </c>
      <c r="D37" s="26" t="s">
        <v>84</v>
      </c>
      <c r="E37" s="83"/>
      <c r="H37" s="10"/>
      <c r="I37" s="76">
        <f>SUMIF($L$4:$L$32,$B37,I$4:I$32)</f>
        <v>78.703500000000005</v>
      </c>
      <c r="J37" s="26" t="s">
        <v>84</v>
      </c>
      <c r="K37" s="76">
        <f>SUMIF($L$4:$L$32,$B37,K$4:K$32)</f>
        <v>3464.9611502712496</v>
      </c>
      <c r="L37" s="26" t="s">
        <v>84</v>
      </c>
      <c r="N37" s="76">
        <f t="shared" ref="N37:P39" si="20">SUMIF($L$4:$L$32,$B37,N$4:N$32)</f>
        <v>515</v>
      </c>
      <c r="O37" s="76">
        <f t="shared" si="20"/>
        <v>-79.7</v>
      </c>
      <c r="P37" s="76">
        <f t="shared" si="20"/>
        <v>22</v>
      </c>
      <c r="R37" s="76">
        <f t="shared" ref="R37:T39" si="21">SUMIF($L$4:$L$32,$B37,R$4:R$32)</f>
        <v>3494.2499999999995</v>
      </c>
      <c r="S37" s="76">
        <f t="shared" si="21"/>
        <v>462.53200000000004</v>
      </c>
      <c r="T37" s="76">
        <f t="shared" si="21"/>
        <v>151</v>
      </c>
      <c r="V37" s="26" t="s">
        <v>84</v>
      </c>
      <c r="AA37" s="105">
        <v>0.311</v>
      </c>
      <c r="AF37"/>
      <c r="AO37" s="76">
        <f>SUMIF($L$4:$L$32,$B37,AO$4:AO$32)</f>
        <v>3486.9611502712496</v>
      </c>
      <c r="AP37" s="33">
        <f t="shared" si="15"/>
        <v>6.770798350041261</v>
      </c>
      <c r="AR37" s="76">
        <f>SUMIF($L$4:$L$32,$B37,AR$4:AR$32)</f>
        <v>4411.9335931088972</v>
      </c>
      <c r="AS37" s="33">
        <f t="shared" si="16"/>
        <v>8.5668613458425185</v>
      </c>
      <c r="AU37" s="85" t="s">
        <v>84</v>
      </c>
      <c r="AV37" s="76">
        <f t="shared" ref="AV37:AW39" si="22">SUMIF($L$4:$L$32,$B37,AV$4:AV$32)</f>
        <v>-79.7</v>
      </c>
      <c r="AW37" s="76">
        <f t="shared" si="22"/>
        <v>462.53200000000004</v>
      </c>
      <c r="AY37" s="38">
        <f>AR37/R37</f>
        <v>1.2626267705827854</v>
      </c>
      <c r="AZ37" s="38">
        <f t="shared" si="18"/>
        <v>9.5386559051241786</v>
      </c>
      <c r="BB37" s="26" t="s">
        <v>84</v>
      </c>
      <c r="BC37" s="26" t="s">
        <v>84</v>
      </c>
      <c r="BE37" s="26" t="s">
        <v>84</v>
      </c>
      <c r="BF37" s="26" t="s">
        <v>84</v>
      </c>
      <c r="BH37" s="76">
        <f>SUMIF($L$4:$L$32,$B37,BH$4:BH$32)</f>
        <v>294.30507261721755</v>
      </c>
      <c r="BJ37" s="84">
        <f>SUMIF($L$4:$L$32,$B37,BJ$4:BJ$32)</f>
        <v>0</v>
      </c>
      <c r="BK37" s="76">
        <f t="shared" ref="BK37:BL39" si="23">SUMIF($L$4:$L$32,$B37,BK$4:BK$32)</f>
        <v>0</v>
      </c>
      <c r="BL37" s="76">
        <f t="shared" si="23"/>
        <v>0</v>
      </c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</row>
    <row r="38" spans="2:165" s="26" customFormat="1" x14ac:dyDescent="0.35">
      <c r="B38" s="82" t="s">
        <v>82</v>
      </c>
      <c r="D38" s="26" t="s">
        <v>84</v>
      </c>
      <c r="E38" s="83"/>
      <c r="H38" s="10"/>
      <c r="I38" s="76">
        <f>SUMIF($L$4:$L$32,$B38,I$4:I$32)</f>
        <v>51</v>
      </c>
      <c r="J38" s="26" t="s">
        <v>84</v>
      </c>
      <c r="K38" s="76">
        <f>SUMIF($L$4:$L$32,$B38,K$4:K$32)</f>
        <v>323.98745117993394</v>
      </c>
      <c r="L38" s="26" t="s">
        <v>84</v>
      </c>
      <c r="N38" s="76">
        <f t="shared" si="20"/>
        <v>171.8</v>
      </c>
      <c r="O38" s="76">
        <f t="shared" si="20"/>
        <v>-5.9190000000000005</v>
      </c>
      <c r="P38" s="76">
        <f t="shared" si="20"/>
        <v>69.674000000000007</v>
      </c>
      <c r="R38" s="76">
        <f t="shared" si="21"/>
        <v>628.43599999999992</v>
      </c>
      <c r="S38" s="76">
        <f t="shared" si="21"/>
        <v>85</v>
      </c>
      <c r="T38" s="76">
        <f t="shared" si="21"/>
        <v>166</v>
      </c>
      <c r="V38" s="26" t="s">
        <v>84</v>
      </c>
      <c r="AF38"/>
      <c r="AO38" s="76">
        <f>SUMIF($L$4:$L$32,$B38,AO$4:AO$32)</f>
        <v>412.48745117993394</v>
      </c>
      <c r="AP38" s="33">
        <f t="shared" si="15"/>
        <v>2.4009746867283699</v>
      </c>
      <c r="AR38" s="76">
        <f>SUMIF($L$4:$L$32,$B38,AR$4:AR$32)</f>
        <v>462.01896806855649</v>
      </c>
      <c r="AS38" s="33">
        <f t="shared" si="16"/>
        <v>2.6892838653583029</v>
      </c>
      <c r="AU38" s="85" t="s">
        <v>84</v>
      </c>
      <c r="AV38" s="76">
        <f t="shared" si="22"/>
        <v>-5.9190000000000005</v>
      </c>
      <c r="AW38" s="76">
        <f t="shared" si="22"/>
        <v>85</v>
      </c>
      <c r="AY38" s="38">
        <f>AR38/R38</f>
        <v>0.73518857619321065</v>
      </c>
      <c r="AZ38" s="38">
        <f t="shared" si="18"/>
        <v>5.4355172713947821</v>
      </c>
      <c r="BB38" s="26" t="s">
        <v>84</v>
      </c>
      <c r="BC38" s="26" t="s">
        <v>84</v>
      </c>
      <c r="BE38" s="26" t="s">
        <v>84</v>
      </c>
      <c r="BF38" s="26" t="s">
        <v>84</v>
      </c>
      <c r="BH38" s="76">
        <f>SUMIF($L$4:$L$32,$B38,BH$4:BH$32)</f>
        <v>114.493532</v>
      </c>
      <c r="BJ38" s="84">
        <f>SUMIF($L$4:$L$32,$B38,BJ$4:BJ$32)</f>
        <v>4</v>
      </c>
      <c r="BK38" s="76">
        <f t="shared" si="23"/>
        <v>51</v>
      </c>
      <c r="BL38" s="76">
        <f t="shared" si="23"/>
        <v>114.493532</v>
      </c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</row>
    <row r="39" spans="2:165" s="26" customFormat="1" x14ac:dyDescent="0.35">
      <c r="B39" s="82" t="s">
        <v>81</v>
      </c>
      <c r="D39" s="26" t="s">
        <v>84</v>
      </c>
      <c r="E39" s="83"/>
      <c r="H39" s="10"/>
      <c r="I39" s="76">
        <f>SUMIF($L$4:$L$32,$B39,I$4:I$32)</f>
        <v>47.81</v>
      </c>
      <c r="J39" s="26" t="s">
        <v>84</v>
      </c>
      <c r="K39" s="76">
        <f>SUMIF($L$4:$L$32,$B39,K$4:K$32)</f>
        <v>463.46432748426372</v>
      </c>
      <c r="L39" s="26" t="s">
        <v>84</v>
      </c>
      <c r="N39" s="76">
        <f t="shared" si="20"/>
        <v>249.25199999999998</v>
      </c>
      <c r="O39" s="76">
        <f t="shared" si="20"/>
        <v>4.9000000000000004</v>
      </c>
      <c r="P39" s="76">
        <f t="shared" si="20"/>
        <v>63.817</v>
      </c>
      <c r="R39" s="76">
        <f t="shared" si="21"/>
        <v>1348.4359999999999</v>
      </c>
      <c r="S39" s="76">
        <f t="shared" si="21"/>
        <v>172</v>
      </c>
      <c r="T39" s="76">
        <f t="shared" si="21"/>
        <v>379</v>
      </c>
      <c r="V39" s="26" t="s">
        <v>84</v>
      </c>
      <c r="AF39"/>
      <c r="AO39" s="76">
        <f>SUMIF($L$4:$L$32,$B39,AO$4:AO$32)</f>
        <v>546.96432748426366</v>
      </c>
      <c r="AP39" s="33">
        <f t="shared" ref="AP39" si="24">+AO39/$N39</f>
        <v>2.1944230236237372</v>
      </c>
      <c r="AR39" s="76">
        <f>SUMIF($L$4:$L$32,$B39,AR$4:AR$32)</f>
        <v>578.27899893393544</v>
      </c>
      <c r="AS39" s="33">
        <f t="shared" si="16"/>
        <v>2.3200576080991748</v>
      </c>
      <c r="AU39" s="85" t="s">
        <v>84</v>
      </c>
      <c r="AV39" s="76">
        <f t="shared" si="22"/>
        <v>4.9000000000000004</v>
      </c>
      <c r="AW39" s="76">
        <f t="shared" si="22"/>
        <v>172</v>
      </c>
      <c r="AY39" s="38">
        <f>AR39/R39</f>
        <v>0.42885164659941999</v>
      </c>
      <c r="AZ39" s="38">
        <f t="shared" ref="AZ39" si="25">AR39/AW39</f>
        <v>3.3620872031042759</v>
      </c>
      <c r="BB39" s="26" t="s">
        <v>84</v>
      </c>
      <c r="BC39" s="26" t="s">
        <v>84</v>
      </c>
      <c r="BE39" s="26" t="s">
        <v>84</v>
      </c>
      <c r="BF39" s="26" t="s">
        <v>84</v>
      </c>
      <c r="BH39" s="76">
        <f>SUMIF($L$4:$L$32,$B39,BH$4:BH$32)</f>
        <v>244.90111238367544</v>
      </c>
      <c r="BJ39" s="84">
        <f>SUMIF($L$4:$L$32,$B39,BJ$4:BJ$32)</f>
        <v>3</v>
      </c>
      <c r="BK39" s="76">
        <f t="shared" si="23"/>
        <v>18.445</v>
      </c>
      <c r="BL39" s="76">
        <f t="shared" si="23"/>
        <v>57.918261365454619</v>
      </c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</row>
    <row r="40" spans="2:165" x14ac:dyDescent="0.35">
      <c r="BL40" s="2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</row>
    <row r="41" spans="2:165" x14ac:dyDescent="0.35">
      <c r="I41" s="88">
        <f>I38/90</f>
        <v>0.56666666666666665</v>
      </c>
      <c r="BL41" s="2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</row>
    <row r="42" spans="2:165" x14ac:dyDescent="0.35">
      <c r="BL42" s="2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</row>
    <row r="43" spans="2:165" x14ac:dyDescent="0.35">
      <c r="BL43" s="2">
        <f>MIN(D:D)</f>
        <v>43252</v>
      </c>
      <c r="BM43" s="43">
        <f>EDATE(BL43,1)</f>
        <v>43282</v>
      </c>
      <c r="BN43" s="43">
        <f t="shared" ref="BN43:DY43" si="26">EDATE(BM43,1)</f>
        <v>43313</v>
      </c>
      <c r="BO43" s="43">
        <f t="shared" si="26"/>
        <v>43344</v>
      </c>
      <c r="BP43" s="43">
        <f t="shared" si="26"/>
        <v>43374</v>
      </c>
      <c r="BQ43" s="43">
        <f t="shared" si="26"/>
        <v>43405</v>
      </c>
      <c r="BR43" s="43">
        <f t="shared" si="26"/>
        <v>43435</v>
      </c>
      <c r="BS43" s="43">
        <f t="shared" si="26"/>
        <v>43466</v>
      </c>
      <c r="BT43" s="43">
        <f t="shared" si="26"/>
        <v>43497</v>
      </c>
      <c r="BU43" s="43">
        <f t="shared" si="26"/>
        <v>43525</v>
      </c>
      <c r="BV43" s="43">
        <f t="shared" si="26"/>
        <v>43556</v>
      </c>
      <c r="BW43" s="43">
        <f t="shared" si="26"/>
        <v>43586</v>
      </c>
      <c r="BX43" s="43">
        <f t="shared" si="26"/>
        <v>43617</v>
      </c>
      <c r="BY43" s="43">
        <f t="shared" si="26"/>
        <v>43647</v>
      </c>
      <c r="BZ43" s="43">
        <f t="shared" si="26"/>
        <v>43678</v>
      </c>
      <c r="CA43" s="43">
        <f t="shared" si="26"/>
        <v>43709</v>
      </c>
      <c r="CB43" s="43">
        <f t="shared" si="26"/>
        <v>43739</v>
      </c>
      <c r="CC43" s="43">
        <f t="shared" si="26"/>
        <v>43770</v>
      </c>
      <c r="CD43" s="43">
        <f t="shared" si="26"/>
        <v>43800</v>
      </c>
      <c r="CE43" s="43">
        <f t="shared" si="26"/>
        <v>43831</v>
      </c>
      <c r="CF43" s="43">
        <f t="shared" si="26"/>
        <v>43862</v>
      </c>
      <c r="CG43" s="43">
        <f t="shared" si="26"/>
        <v>43891</v>
      </c>
      <c r="CH43" s="43">
        <f t="shared" si="26"/>
        <v>43922</v>
      </c>
      <c r="CI43" s="43">
        <f t="shared" si="26"/>
        <v>43952</v>
      </c>
      <c r="CJ43" s="43">
        <f t="shared" si="26"/>
        <v>43983</v>
      </c>
      <c r="CK43" s="43">
        <f t="shared" si="26"/>
        <v>44013</v>
      </c>
      <c r="CL43" s="43">
        <f t="shared" si="26"/>
        <v>44044</v>
      </c>
      <c r="CM43" s="43">
        <f t="shared" si="26"/>
        <v>44075</v>
      </c>
      <c r="CN43" s="43">
        <f t="shared" si="26"/>
        <v>44105</v>
      </c>
      <c r="CO43" s="43">
        <f t="shared" si="26"/>
        <v>44136</v>
      </c>
      <c r="CP43" s="43">
        <f t="shared" si="26"/>
        <v>44166</v>
      </c>
      <c r="CQ43" s="43">
        <f t="shared" si="26"/>
        <v>44197</v>
      </c>
      <c r="CR43" s="43">
        <f t="shared" si="26"/>
        <v>44228</v>
      </c>
      <c r="CS43" s="43">
        <f t="shared" si="26"/>
        <v>44256</v>
      </c>
      <c r="CT43" s="43">
        <f t="shared" si="26"/>
        <v>44287</v>
      </c>
      <c r="CU43" s="43">
        <f t="shared" si="26"/>
        <v>44317</v>
      </c>
      <c r="CV43" s="43">
        <f t="shared" si="26"/>
        <v>44348</v>
      </c>
      <c r="CW43" s="43">
        <f t="shared" si="26"/>
        <v>44378</v>
      </c>
      <c r="CX43" s="43">
        <f t="shared" si="26"/>
        <v>44409</v>
      </c>
      <c r="CY43" s="43">
        <f t="shared" si="26"/>
        <v>44440</v>
      </c>
      <c r="CZ43" s="43">
        <f t="shared" si="26"/>
        <v>44470</v>
      </c>
      <c r="DA43" s="43">
        <f t="shared" si="26"/>
        <v>44501</v>
      </c>
      <c r="DB43" s="43">
        <f t="shared" si="26"/>
        <v>44531</v>
      </c>
      <c r="DC43" s="43">
        <f t="shared" si="26"/>
        <v>44562</v>
      </c>
      <c r="DD43" s="43">
        <f t="shared" si="26"/>
        <v>44593</v>
      </c>
      <c r="DE43" s="43">
        <f t="shared" si="26"/>
        <v>44621</v>
      </c>
      <c r="DF43" s="43">
        <f t="shared" si="26"/>
        <v>44652</v>
      </c>
      <c r="DG43" s="43">
        <f t="shared" si="26"/>
        <v>44682</v>
      </c>
      <c r="DH43" s="43">
        <f t="shared" si="26"/>
        <v>44713</v>
      </c>
      <c r="DI43" s="43">
        <f t="shared" si="26"/>
        <v>44743</v>
      </c>
      <c r="DJ43" s="43">
        <f t="shared" si="26"/>
        <v>44774</v>
      </c>
      <c r="DK43" s="43">
        <f t="shared" si="26"/>
        <v>44805</v>
      </c>
      <c r="DL43" s="43">
        <f t="shared" si="26"/>
        <v>44835</v>
      </c>
      <c r="DM43" s="43">
        <f t="shared" si="26"/>
        <v>44866</v>
      </c>
      <c r="DN43" s="43">
        <f t="shared" si="26"/>
        <v>44896</v>
      </c>
      <c r="DO43" s="43">
        <f t="shared" si="26"/>
        <v>44927</v>
      </c>
      <c r="DP43" s="43">
        <f t="shared" si="26"/>
        <v>44958</v>
      </c>
      <c r="DQ43" s="43">
        <f t="shared" si="26"/>
        <v>44986</v>
      </c>
      <c r="DR43" s="43">
        <f t="shared" si="26"/>
        <v>45017</v>
      </c>
      <c r="DS43" s="43">
        <f t="shared" si="26"/>
        <v>45047</v>
      </c>
      <c r="DT43" s="43">
        <f t="shared" si="26"/>
        <v>45078</v>
      </c>
      <c r="DU43" s="43">
        <f t="shared" si="26"/>
        <v>45108</v>
      </c>
      <c r="DV43" s="43">
        <f t="shared" si="26"/>
        <v>45139</v>
      </c>
      <c r="DW43" s="43">
        <f t="shared" si="26"/>
        <v>45170</v>
      </c>
      <c r="DX43" s="43">
        <f t="shared" si="26"/>
        <v>45200</v>
      </c>
      <c r="DY43" s="43">
        <f t="shared" si="26"/>
        <v>45231</v>
      </c>
      <c r="DZ43" s="43">
        <f t="shared" ref="DZ43:EX43" si="27">EDATE(DY43,1)</f>
        <v>45261</v>
      </c>
      <c r="EA43" s="43">
        <f t="shared" si="27"/>
        <v>45292</v>
      </c>
      <c r="EB43" s="43">
        <f t="shared" si="27"/>
        <v>45323</v>
      </c>
      <c r="EC43" s="43">
        <f t="shared" si="27"/>
        <v>45352</v>
      </c>
      <c r="ED43" s="43">
        <f t="shared" si="27"/>
        <v>45383</v>
      </c>
      <c r="EE43" s="43">
        <f t="shared" si="27"/>
        <v>45413</v>
      </c>
      <c r="EF43" s="43">
        <f t="shared" si="27"/>
        <v>45444</v>
      </c>
      <c r="EG43" s="43">
        <f t="shared" si="27"/>
        <v>45474</v>
      </c>
      <c r="EH43" s="43">
        <f t="shared" si="27"/>
        <v>45505</v>
      </c>
      <c r="EI43" s="43">
        <f t="shared" si="27"/>
        <v>45536</v>
      </c>
      <c r="EJ43" s="43">
        <f t="shared" si="27"/>
        <v>45566</v>
      </c>
      <c r="EK43" s="43">
        <f t="shared" si="27"/>
        <v>45597</v>
      </c>
      <c r="EL43" s="43">
        <f t="shared" si="27"/>
        <v>45627</v>
      </c>
      <c r="EM43" s="43">
        <f t="shared" si="27"/>
        <v>45658</v>
      </c>
      <c r="EN43" s="43">
        <f t="shared" si="27"/>
        <v>45689</v>
      </c>
      <c r="EO43" s="43">
        <f t="shared" si="27"/>
        <v>45717</v>
      </c>
      <c r="EP43" s="43">
        <f t="shared" si="27"/>
        <v>45748</v>
      </c>
      <c r="EQ43" s="43">
        <f t="shared" si="27"/>
        <v>45778</v>
      </c>
      <c r="ER43" s="43">
        <f t="shared" si="27"/>
        <v>45809</v>
      </c>
      <c r="ES43" s="43">
        <f t="shared" si="27"/>
        <v>45839</v>
      </c>
      <c r="ET43" s="43">
        <f t="shared" si="27"/>
        <v>45870</v>
      </c>
      <c r="EU43" s="43">
        <f t="shared" si="27"/>
        <v>45901</v>
      </c>
      <c r="EV43" s="43">
        <f t="shared" si="27"/>
        <v>45931</v>
      </c>
      <c r="EW43" s="43">
        <f t="shared" si="27"/>
        <v>45962</v>
      </c>
      <c r="EX43" s="43">
        <f t="shared" si="27"/>
        <v>45992</v>
      </c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</row>
    <row r="44" spans="2:165" x14ac:dyDescent="0.35">
      <c r="B44" s="29" t="s">
        <v>50</v>
      </c>
      <c r="BJ44" t="s">
        <v>51</v>
      </c>
      <c r="BL44" s="42">
        <f>-SUMIF($D$4:$D$32,BL43,$BK$4:$BK$32)+IF(BL43=$B$1,SUM($BL$4:$BL$32),0)-0.000000001</f>
        <v>-1.0000000000000001E-9</v>
      </c>
      <c r="BM44" s="42">
        <f>-SUMIF($D$4:$D$32,BM43,$BK$4:$BK$32)+IF(BM43=$B$1,SUM($BL$4:$BL$32),0)</f>
        <v>0</v>
      </c>
      <c r="BN44" s="42">
        <f>-SUMIF($D$4:$D$32,BN43,$BK$4:$BK$32)+IF(BN43=$B$1,SUM($BL$4:$BL$32),0)</f>
        <v>0</v>
      </c>
      <c r="BO44" s="42">
        <f>-SUMIF($D$4:$D$32,BO43,$BK$4:$BK$32)+IF(BO43=$B$1,SUM($BL$4:$BL$32),0)</f>
        <v>0</v>
      </c>
      <c r="BP44" s="42">
        <f>-SUMIF($D$4:$D$32,BP43,$BK$4:$BK$32)+IF(BP43=$B$1,SUM($BL$4:$BL$32),0)</f>
        <v>0</v>
      </c>
      <c r="BQ44" s="42">
        <f>-SUMIF($D$4:$D$32,BQ43,$BK$4:$BK$32)+IF(BQ43=$B$1,SUM($BL$4:$BL$32),0)</f>
        <v>0</v>
      </c>
      <c r="BR44" s="42">
        <f>-SUMIF($D$4:$D$32,BR43,$BK$4:$BK$32)+IF(BR43=$B$1,SUM($BL$4:$BL$32),0)</f>
        <v>0</v>
      </c>
      <c r="BS44" s="42">
        <f>-SUMIF($D$4:$D$32,BS43,$BK$4:$BK$32)+IF(BS43=$B$1,SUM($BL$4:$BL$32),0)</f>
        <v>0</v>
      </c>
      <c r="BT44" s="42">
        <f>-SUMIF($D$4:$D$32,BT43,$BK$4:$BK$32)+IF(BT43=$B$1,SUM($BL$4:$BL$32),0)</f>
        <v>0</v>
      </c>
      <c r="BU44" s="42">
        <f>-SUMIF($D$4:$D$32,BU43,$BK$4:$BK$32)+IF(BU43=$B$1,SUM($BL$4:$BL$32),0)</f>
        <v>0</v>
      </c>
      <c r="BV44" s="42">
        <f>-SUMIF($D$4:$D$32,BV43,$BK$4:$BK$32)+IF(BV43=$B$1,SUM($BL$4:$BL$32),0)</f>
        <v>0</v>
      </c>
      <c r="BW44" s="42">
        <f>-SUMIF($D$4:$D$32,BW43,$BK$4:$BK$32)+IF(BW43=$B$1,SUM($BL$4:$BL$32),0)</f>
        <v>0</v>
      </c>
      <c r="BX44" s="42">
        <f>-SUMIF($D$4:$D$32,BX43,$BK$4:$BK$32)+IF(BX43=$B$1,SUM($BL$4:$BL$32),0)</f>
        <v>0</v>
      </c>
      <c r="BY44" s="42">
        <f>-SUMIF($D$4:$D$32,BY43,$BK$4:$BK$32)+IF(BY43=$B$1,SUM($BL$4:$BL$32),0)</f>
        <v>0</v>
      </c>
      <c r="BZ44" s="42">
        <f>-SUMIF($D$4:$D$32,BZ43,$BK$4:$BK$32)+IF(BZ43=$B$1,SUM($BL$4:$BL$32),0)</f>
        <v>0</v>
      </c>
      <c r="CA44" s="42">
        <f>-SUMIF($D$4:$D$32,CA43,$BK$4:$BK$32)+IF(CA43=$B$1,SUM($BL$4:$BL$32),0)</f>
        <v>0</v>
      </c>
      <c r="CB44" s="42">
        <f>-SUMIF($D$4:$D$32,CB43,$BK$4:$BK$32)+IF(CB43=$B$1,SUM($BL$4:$BL$32),0)</f>
        <v>0</v>
      </c>
      <c r="CC44" s="42">
        <f>-SUMIF($D$4:$D$32,CC43,$BK$4:$BK$32)+IF(CC43=$B$1,SUM($BL$4:$BL$32),0)</f>
        <v>0</v>
      </c>
      <c r="CD44" s="42">
        <f>-SUMIF($D$4:$D$32,CD43,$BK$4:$BK$32)+IF(CD43=$B$1,SUM($BL$4:$BL$32),0)</f>
        <v>0</v>
      </c>
      <c r="CE44" s="42">
        <f>-SUMIF($D$4:$D$32,CE43,$BK$4:$BK$32)+IF(CE43=$B$1,SUM($BL$4:$BL$32),0)</f>
        <v>0</v>
      </c>
      <c r="CF44" s="42">
        <f>-SUMIF($D$4:$D$32,CF43,$BK$4:$BK$32)+IF(CF43=$B$1,SUM($BL$4:$BL$32),0)</f>
        <v>0</v>
      </c>
      <c r="CG44" s="42">
        <f>-SUMIF($D$4:$D$32,CG43,$BK$4:$BK$32)+IF(CG43=$B$1,SUM($BL$4:$BL$32),0)</f>
        <v>0</v>
      </c>
      <c r="CH44" s="42">
        <f>-SUMIF($D$4:$D$32,CH43,$BK$4:$BK$32)+IF(CH43=$B$1,SUM($BL$4:$BL$32),0)</f>
        <v>0</v>
      </c>
      <c r="CI44" s="42">
        <f>-SUMIF($D$4:$D$32,CI43,$BK$4:$BK$32)+IF(CI43=$B$1,SUM($BL$4:$BL$32),0)</f>
        <v>0</v>
      </c>
      <c r="CJ44" s="42">
        <f>-SUMIF($D$4:$D$32,CJ43,$BK$4:$BK$32)+IF(CJ43=$B$1,SUM($BL$4:$BL$32),0)</f>
        <v>0</v>
      </c>
      <c r="CK44" s="42">
        <f>-SUMIF($D$4:$D$32,CK43,$BK$4:$BK$32)+IF(CK43=$B$1,SUM($BL$4:$BL$32),0)</f>
        <v>0</v>
      </c>
      <c r="CL44" s="42">
        <f>-SUMIF($D$4:$D$32,CL43,$BK$4:$BK$32)+IF(CL43=$B$1,SUM($BL$4:$BL$32),0)</f>
        <v>0</v>
      </c>
      <c r="CM44" s="42">
        <f>-SUMIF($D$4:$D$32,CM43,$BK$4:$BK$32)+IF(CM43=$B$1,SUM($BL$4:$BL$32),0)</f>
        <v>0</v>
      </c>
      <c r="CN44" s="42">
        <f>-SUMIF($D$4:$D$32,CN43,$BK$4:$BK$32)+IF(CN43=$B$1,SUM($BL$4:$BL$32),0)</f>
        <v>0</v>
      </c>
      <c r="CO44" s="42">
        <f>-SUMIF($D$4:$D$32,CO43,$BK$4:$BK$32)+IF(CO43=$B$1,SUM($BL$4:$BL$32),0)</f>
        <v>0</v>
      </c>
      <c r="CP44" s="42">
        <f>-SUMIF($D$4:$D$32,CP43,$BK$4:$BK$32)+IF(CP43=$B$1,SUM($BL$4:$BL$32),0)</f>
        <v>0</v>
      </c>
      <c r="CQ44" s="42">
        <f>-SUMIF($D$4:$D$32,CQ43,$BK$4:$BK$32)+IF(CQ43=$B$1,SUM($BL$4:$BL$32),0)</f>
        <v>0</v>
      </c>
      <c r="CR44" s="42">
        <f>-SUMIF($D$4:$D$32,CR43,$BK$4:$BK$32)+IF(CR43=$B$1,SUM($BL$4:$BL$32),0)</f>
        <v>0</v>
      </c>
      <c r="CS44" s="42">
        <f>-SUMIF($D$4:$D$32,CS43,$BK$4:$BK$32)+IF(CS43=$B$1,SUM($BL$4:$BL$32),0)</f>
        <v>0</v>
      </c>
      <c r="CT44" s="42">
        <f>-SUMIF($D$4:$D$32,CT43,$BK$4:$BK$32)+IF(CT43=$B$1,SUM($BL$4:$BL$32),0)</f>
        <v>0</v>
      </c>
      <c r="CU44" s="42">
        <f>-SUMIF($D$4:$D$32,CU43,$BK$4:$BK$32)+IF(CU43=$B$1,SUM($BL$4:$BL$32),0)</f>
        <v>0</v>
      </c>
      <c r="CV44" s="42">
        <f>-SUMIF($D$4:$D$32,CV43,$BK$4:$BK$32)+IF(CV43=$B$1,SUM($BL$4:$BL$32),0)</f>
        <v>0</v>
      </c>
      <c r="CW44" s="42">
        <f>-SUMIF($D$4:$D$32,CW43,$BK$4:$BK$32)+IF(CW43=$B$1,SUM($BL$4:$BL$32),0)</f>
        <v>0</v>
      </c>
      <c r="CX44" s="42">
        <f>-SUMIF($D$4:$D$32,CX43,$BK$4:$BK$32)+IF(CX43=$B$1,SUM($BL$4:$BL$32),0)</f>
        <v>0</v>
      </c>
      <c r="CY44" s="42">
        <f>-SUMIF($D$4:$D$32,CY43,$BK$4:$BK$32)+IF(CY43=$B$1,SUM($BL$4:$BL$32),0)</f>
        <v>0</v>
      </c>
      <c r="CZ44" s="42">
        <f>-SUMIF($D$4:$D$32,CZ43,$BK$4:$BK$32)+IF(CZ43=$B$1,SUM($BL$4:$BL$32),0)</f>
        <v>0</v>
      </c>
      <c r="DA44" s="42">
        <f>-SUMIF($D$4:$D$32,DA43,$BK$4:$BK$32)+IF(DA43=$B$1,SUM($BL$4:$BL$32),0)</f>
        <v>0</v>
      </c>
      <c r="DB44" s="42">
        <f>-SUMIF($D$4:$D$32,DB43,$BK$4:$BK$32)+IF(DB43=$B$1,SUM($BL$4:$BL$32),0)</f>
        <v>0</v>
      </c>
      <c r="DC44" s="42">
        <f>-SUMIF($D$4:$D$32,DC43,$BK$4:$BK$32)+IF(DC43=$B$1,SUM($BL$4:$BL$32),0)</f>
        <v>0</v>
      </c>
      <c r="DD44" s="42">
        <f>-SUMIF($D$4:$D$32,DD43,$BK$4:$BK$32)+IF(DD43=$B$1,SUM($BL$4:$BL$32),0)</f>
        <v>0</v>
      </c>
      <c r="DE44" s="42">
        <f>-SUMIF($D$4:$D$32,DE43,$BK$4:$BK$32)+IF(DE43=$B$1,SUM($BL$4:$BL$32),0)</f>
        <v>0</v>
      </c>
      <c r="DF44" s="42">
        <f>-SUMIF($D$4:$D$32,DF43,$BK$4:$BK$32)+IF(DF43=$B$1,SUM($BL$4:$BL$32),0)</f>
        <v>0</v>
      </c>
      <c r="DG44" s="42">
        <f>-SUMIF($D$4:$D$32,DG43,$BK$4:$BK$32)+IF(DG43=$B$1,SUM($BL$4:$BL$32),0)</f>
        <v>0</v>
      </c>
      <c r="DH44" s="42">
        <f>-SUMIF($D$4:$D$32,DH43,$BK$4:$BK$32)+IF(DH43=$B$1,SUM($BL$4:$BL$32),0)</f>
        <v>0</v>
      </c>
      <c r="DI44" s="42">
        <f>-SUMIF($D$4:$D$32,DI43,$BK$4:$BK$32)+IF(DI43=$B$1,SUM($BL$4:$BL$32),0)</f>
        <v>0</v>
      </c>
      <c r="DJ44" s="42">
        <f>-SUMIF($D$4:$D$32,DJ43,$BK$4:$BK$32)+IF(DJ43=$B$1,SUM($BL$4:$BL$32),0)</f>
        <v>0</v>
      </c>
      <c r="DK44" s="42">
        <f>-SUMIF($D$4:$D$32,DK43,$BK$4:$BK$32)+IF(DK43=$B$1,SUM($BL$4:$BL$32),0)</f>
        <v>-12.5</v>
      </c>
      <c r="DL44" s="42">
        <f>-SUMIF($D$4:$D$32,DL43,$BK$4:$BK$32)+IF(DL43=$B$1,SUM($BL$4:$BL$32),0)</f>
        <v>0</v>
      </c>
      <c r="DM44" s="42">
        <f>-SUMIF($D$4:$D$32,DM43,$BK$4:$BK$32)+IF(DM43=$B$1,SUM($BL$4:$BL$32),0)</f>
        <v>0</v>
      </c>
      <c r="DN44" s="42">
        <f>-SUMIF($D$4:$D$32,DN43,$BK$4:$BK$32)+IF(DN43=$B$1,SUM($BL$4:$BL$32),0)</f>
        <v>0</v>
      </c>
      <c r="DO44" s="42">
        <f>-SUMIF($D$4:$D$32,DO43,$BK$4:$BK$32)+IF(DO43=$B$1,SUM($BL$4:$BL$32),0)</f>
        <v>0</v>
      </c>
      <c r="DP44" s="42">
        <f>-SUMIF($D$4:$D$32,DP43,$BK$4:$BK$32)+IF(DP43=$B$1,SUM($BL$4:$BL$32),0)</f>
        <v>0</v>
      </c>
      <c r="DQ44" s="42">
        <f>-SUMIF($D$4:$D$32,DQ43,$BK$4:$BK$32)+IF(DQ43=$B$1,SUM($BL$4:$BL$32),0)</f>
        <v>0</v>
      </c>
      <c r="DR44" s="42">
        <f>-SUMIF($D$4:$D$32,DR43,$BK$4:$BK$32)+IF(DR43=$B$1,SUM($BL$4:$BL$32),0)</f>
        <v>0</v>
      </c>
      <c r="DS44" s="42">
        <f>-SUMIF($D$4:$D$32,DS43,$BK$4:$BK$32)+IF(DS43=$B$1,SUM($BL$4:$BL$32),0)</f>
        <v>0</v>
      </c>
      <c r="DT44" s="42">
        <f>-SUMIF($D$4:$D$32,DT43,$BK$4:$BK$32)+IF(DT43=$B$1,SUM($BL$4:$BL$32),0)</f>
        <v>0</v>
      </c>
      <c r="DU44" s="42">
        <f>-SUMIF($D$4:$D$32,DU43,$BK$4:$BK$32)+IF(DU43=$B$1,SUM($BL$4:$BL$32),0)</f>
        <v>0</v>
      </c>
      <c r="DV44" s="42">
        <f>-SUMIF($D$4:$D$32,DV43,$BK$4:$BK$32)+IF(DV43=$B$1,SUM($BL$4:$BL$32),0)</f>
        <v>0</v>
      </c>
      <c r="DW44" s="42">
        <f>-SUMIF($D$4:$D$32,DW43,$BK$4:$BK$32)+IF(DW43=$B$1,SUM($BL$4:$BL$32),0)</f>
        <v>-13.5</v>
      </c>
      <c r="DX44" s="42">
        <f>-SUMIF($D$4:$D$32,DX43,$BK$4:$BK$32)+IF(DX43=$B$1,SUM($BL$4:$BL$32),0)</f>
        <v>0</v>
      </c>
      <c r="DY44" s="42">
        <f>-SUMIF($D$4:$D$32,DY43,$BK$4:$BK$32)+IF(DY43=$B$1,SUM($BL$4:$BL$32),0)</f>
        <v>0</v>
      </c>
      <c r="DZ44" s="42">
        <f>-SUMIF($D$4:$D$32,DZ43,$BK$4:$BK$32)+IF(DZ43=$B$1,SUM($BL$4:$BL$32),0)</f>
        <v>-9.68</v>
      </c>
      <c r="EA44" s="42">
        <f>-SUMIF($D$4:$D$32,EA43,$BK$4:$BK$32)+IF(EA43=$B$1,SUM($BL$4:$BL$32),0)</f>
        <v>0</v>
      </c>
      <c r="EB44" s="42">
        <f>-SUMIF($D$4:$D$32,EB43,$BK$4:$BK$32)+IF(EB43=$B$1,SUM($BL$4:$BL$32),0)</f>
        <v>0</v>
      </c>
      <c r="EC44" s="42">
        <f>-SUMIF($D$4:$D$32,EC43,$BK$4:$BK$32)+IF(EC43=$B$1,SUM($BL$4:$BL$32),0)</f>
        <v>0</v>
      </c>
      <c r="ED44" s="42">
        <f>-SUMIF($D$4:$D$32,ED43,$BK$4:$BK$32)+IF(ED43=$B$1,SUM($BL$4:$BL$32),0)</f>
        <v>-12.5</v>
      </c>
      <c r="EE44" s="42">
        <f>-SUMIF($D$4:$D$32,EE43,$BK$4:$BK$32)+IF(EE43=$B$1,SUM($BL$4:$BL$32),0)</f>
        <v>0</v>
      </c>
      <c r="EF44" s="42">
        <f>-SUMIF($D$4:$D$32,EF43,$BK$4:$BK$32)+IF(EF43=$B$1,SUM($BL$4:$BL$32),0)</f>
        <v>0</v>
      </c>
      <c r="EG44" s="42">
        <f>-SUMIF($D$4:$D$32,EG43,$BK$4:$BK$32)+IF(EG43=$B$1,SUM($BL$4:$BL$32),0)</f>
        <v>0</v>
      </c>
      <c r="EH44" s="42">
        <f>-SUMIF($D$4:$D$32,EH43,$BK$4:$BK$32)+IF(EH43=$B$1,SUM($BL$4:$BL$32),0)</f>
        <v>-12.5</v>
      </c>
      <c r="EI44" s="42">
        <f>-SUMIF($D$4:$D$32,EI43,$BK$4:$BK$32)+IF(EI43=$B$1,SUM($BL$4:$BL$32),0)</f>
        <v>0</v>
      </c>
      <c r="EJ44" s="42">
        <f>-SUMIF($D$4:$D$32,EJ43,$BK$4:$BK$32)+IF(EJ43=$B$1,SUM($BL$4:$BL$32),0)</f>
        <v>0</v>
      </c>
      <c r="EK44" s="42">
        <f>-SUMIF($D$4:$D$32,EK43,$BK$4:$BK$32)+IF(EK43=$B$1,SUM($BL$4:$BL$32),0)</f>
        <v>0</v>
      </c>
      <c r="EL44" s="42">
        <f>-SUMIF($D$4:$D$32,EL43,$BK$4:$BK$32)+IF(EL43=$B$1,SUM($BL$4:$BL$32),0)</f>
        <v>0</v>
      </c>
      <c r="EM44" s="42">
        <f>-SUMIF($D$4:$D$32,EM43,$BK$4:$BK$32)+IF(EM43=$B$1,SUM($BL$4:$BL$32),0)</f>
        <v>0</v>
      </c>
      <c r="EN44" s="42">
        <f>-SUMIF($D$4:$D$32,EN43,$BK$4:$BK$32)+IF(EN43=$B$1,SUM($BL$4:$BL$32),0)</f>
        <v>-3.5</v>
      </c>
      <c r="EO44" s="42">
        <f>-SUMIF($D$4:$D$32,EO43,$BK$4:$BK$32)+IF(EO43=$B$1,SUM($BL$4:$BL$32),0)</f>
        <v>0</v>
      </c>
      <c r="EP44" s="42">
        <f>-SUMIF($D$4:$D$32,EP43,$BK$4:$BK$32)+IF(EP43=$B$1,SUM($BL$4:$BL$32),0)</f>
        <v>-5.2649999999999997</v>
      </c>
      <c r="EQ44" s="42">
        <f>-SUMIF($D$4:$D$32,EQ43,$BK$4:$BK$32)+IF(EQ43=$B$1,SUM($BL$4:$BL$32),0)</f>
        <v>0</v>
      </c>
      <c r="ER44" s="42">
        <f>-SUMIF($D$4:$D$32,ER43,$BK$4:$BK$32)+IF(ER43=$B$1,SUM($BL$4:$BL$32),0)</f>
        <v>0</v>
      </c>
      <c r="ES44" s="42">
        <f>-SUMIF($D$4:$D$32,ES43,$BK$4:$BK$32)+IF(ES43=$B$1,SUM($BL$4:$BL$32),0)</f>
        <v>0</v>
      </c>
      <c r="ET44" s="42">
        <f>-SUMIF($D$4:$D$32,ET43,$BK$4:$BK$32)+IF(ET43=$B$1,SUM($BL$4:$BL$32),0)</f>
        <v>0</v>
      </c>
      <c r="EU44" s="42">
        <f>-SUMIF($D$4:$D$32,EU43,$BK$4:$BK$32)+IF(EU43=$B$1,SUM($BL$4:$BL$32),0)</f>
        <v>172.41179336545463</v>
      </c>
      <c r="EV44" s="42">
        <f>-SUMIF($D$4:$D$32,EV43,$BK$4:$BK$32)+IF(EV43=$B$1,SUM($BL$4:$BL$32),0)</f>
        <v>0</v>
      </c>
      <c r="EW44" s="42">
        <f>-SUMIF($D$4:$D$32,EW43,$BK$4:$BK$32)+IF(EW43=$B$1,SUM($BL$4:$BL$32),0)</f>
        <v>0</v>
      </c>
      <c r="EX44" s="42">
        <f>-SUMIF($D$4:$D$32,EX43,$BK$4:$BK$32)+IF(EX43=$B$1,SUM($BL$4:$BL$32),0)</f>
        <v>0</v>
      </c>
    </row>
    <row r="45" spans="2:165" x14ac:dyDescent="0.35">
      <c r="B45" s="28" t="s">
        <v>52</v>
      </c>
      <c r="BJ45" t="s">
        <v>24</v>
      </c>
      <c r="BK45" s="46">
        <f>XIRR(BL44:EX44,BL43:EX43)</f>
        <v>0.64023392796516443</v>
      </c>
    </row>
    <row r="46" spans="2:165" x14ac:dyDescent="0.35">
      <c r="B46" s="28" t="s">
        <v>53</v>
      </c>
      <c r="BJ46" t="s">
        <v>23</v>
      </c>
      <c r="BK46" s="38">
        <f>SUM(BL4:BL32)/SUM(BK4:BK32)</f>
        <v>2.4827099627828439</v>
      </c>
    </row>
    <row r="47" spans="2:165" x14ac:dyDescent="0.35">
      <c r="B47" s="28" t="s">
        <v>54</v>
      </c>
    </row>
    <row r="48" spans="2:165" x14ac:dyDescent="0.35">
      <c r="B48" s="28" t="s">
        <v>55</v>
      </c>
    </row>
    <row r="57" spans="10:10" x14ac:dyDescent="0.35">
      <c r="J57" s="1" t="s">
        <v>25</v>
      </c>
    </row>
    <row r="58" spans="10:10" x14ac:dyDescent="0.35">
      <c r="J58" s="1" t="s">
        <v>29</v>
      </c>
    </row>
    <row r="59" spans="10:10" x14ac:dyDescent="0.35">
      <c r="J59" s="1" t="s">
        <v>33</v>
      </c>
    </row>
    <row r="60" spans="10:10" x14ac:dyDescent="0.35">
      <c r="J60" s="1" t="s">
        <v>35</v>
      </c>
    </row>
    <row r="61" spans="10:10" x14ac:dyDescent="0.35">
      <c r="J61" s="1" t="s">
        <v>40</v>
      </c>
    </row>
    <row r="62" spans="10:10" x14ac:dyDescent="0.35">
      <c r="J62" s="1" t="s">
        <v>42</v>
      </c>
    </row>
  </sheetData>
  <mergeCells count="10">
    <mergeCell ref="A6:A8"/>
    <mergeCell ref="C25:D25"/>
    <mergeCell ref="C27:D27"/>
    <mergeCell ref="C30:D30"/>
    <mergeCell ref="C5:D5"/>
    <mergeCell ref="C9:D9"/>
    <mergeCell ref="C12:D12"/>
    <mergeCell ref="C14:D14"/>
    <mergeCell ref="C19:D19"/>
    <mergeCell ref="C22:D2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618D-6A49-4003-AE60-A34956884B1F}">
  <dimension ref="B2:K76"/>
  <sheetViews>
    <sheetView showGridLines="0" workbookViewId="0">
      <selection activeCell="U11" sqref="U11"/>
    </sheetView>
  </sheetViews>
  <sheetFormatPr defaultRowHeight="14.5" x14ac:dyDescent="0.35"/>
  <cols>
    <col min="2" max="2" width="1.81640625" bestFit="1" customWidth="1"/>
    <col min="3" max="3" width="15.81640625" bestFit="1" customWidth="1"/>
    <col min="4" max="4" width="16.1796875" bestFit="1" customWidth="1"/>
    <col min="5" max="5" width="12.81640625" bestFit="1" customWidth="1"/>
    <col min="6" max="6" width="7.1796875" bestFit="1" customWidth="1"/>
    <col min="7" max="7" width="6.81640625" bestFit="1" customWidth="1"/>
    <col min="8" max="8" width="14.453125" customWidth="1"/>
    <col min="9" max="9" width="10.81640625" customWidth="1"/>
    <col min="10" max="10" width="9.453125" bestFit="1" customWidth="1"/>
    <col min="11" max="11" width="8.7265625" style="26"/>
  </cols>
  <sheetData>
    <row r="2" spans="2:11" s="64" customFormat="1" x14ac:dyDescent="0.35">
      <c r="B2" s="64" t="s">
        <v>56</v>
      </c>
      <c r="C2" s="64" t="s">
        <v>57</v>
      </c>
      <c r="K2" s="65"/>
    </row>
    <row r="4" spans="2:11" x14ac:dyDescent="0.35">
      <c r="C4" s="57"/>
      <c r="D4" s="58"/>
      <c r="E4" s="58" t="s">
        <v>58</v>
      </c>
      <c r="F4" s="58"/>
      <c r="G4" s="58"/>
      <c r="H4" s="58" t="s">
        <v>59</v>
      </c>
      <c r="I4" s="58" t="s">
        <v>60</v>
      </c>
      <c r="J4" s="58"/>
      <c r="K4" s="58"/>
    </row>
    <row r="5" spans="2:11" x14ac:dyDescent="0.35">
      <c r="C5" s="57" t="s">
        <v>61</v>
      </c>
      <c r="D5" s="58" t="s">
        <v>62</v>
      </c>
      <c r="E5" s="58" t="s">
        <v>63</v>
      </c>
      <c r="F5" s="58" t="s">
        <v>64</v>
      </c>
      <c r="G5" s="58" t="s">
        <v>65</v>
      </c>
      <c r="H5" s="58" t="s">
        <v>66</v>
      </c>
      <c r="I5" s="58" t="s">
        <v>66</v>
      </c>
      <c r="J5" s="58" t="s">
        <v>67</v>
      </c>
      <c r="K5" s="58" t="s">
        <v>68</v>
      </c>
    </row>
    <row r="6" spans="2:11" x14ac:dyDescent="0.35">
      <c r="C6" s="1" t="s">
        <v>25</v>
      </c>
      <c r="D6" s="43">
        <f>Sheet1!D4</f>
        <v>43252</v>
      </c>
      <c r="E6" s="49">
        <f>Sheet1!I4*1000</f>
        <v>400</v>
      </c>
      <c r="F6" s="49">
        <f>Sheet1!N4</f>
        <v>88.4</v>
      </c>
      <c r="G6" s="49" t="str">
        <f>Sheet1!O4</f>
        <v>N/A</v>
      </c>
      <c r="H6" s="33">
        <f>Sheet1!AP4</f>
        <v>4.5248868778280538E-3</v>
      </c>
      <c r="I6" s="33">
        <f>Sheet1!AS4</f>
        <v>5.292265354184858E-2</v>
      </c>
      <c r="J6" s="50">
        <f>Sheet1!AU4</f>
        <v>0.30822155316851996</v>
      </c>
      <c r="K6" s="26" t="s">
        <v>69</v>
      </c>
    </row>
    <row r="7" spans="2:11" ht="5.15" customHeight="1" x14ac:dyDescent="0.35">
      <c r="C7" s="1"/>
      <c r="D7" s="43"/>
      <c r="E7" s="49"/>
      <c r="F7" s="49"/>
      <c r="G7" s="49"/>
      <c r="H7" s="33"/>
      <c r="I7" s="33"/>
      <c r="J7" s="50"/>
    </row>
    <row r="8" spans="2:11" x14ac:dyDescent="0.35">
      <c r="C8" s="1" t="s">
        <v>29</v>
      </c>
      <c r="D8" s="43">
        <f>Sheet1!D6</f>
        <v>43617</v>
      </c>
      <c r="E8" s="49">
        <f>Sheet1!I6*1000</f>
        <v>5775</v>
      </c>
      <c r="F8" s="49">
        <f>Sheet1!N6</f>
        <v>80.099999999999994</v>
      </c>
      <c r="G8" s="49">
        <f>Sheet1!O6</f>
        <v>-17</v>
      </c>
      <c r="H8" s="33">
        <f>Sheet1!AP6</f>
        <v>3.9613944108326136</v>
      </c>
      <c r="I8" s="33">
        <f>Sheet1!AS6</f>
        <v>6.707988156201897</v>
      </c>
      <c r="J8" s="50">
        <f>Sheet1!AU6</f>
        <v>0.40175480223266202</v>
      </c>
      <c r="K8" s="26" t="s">
        <v>69</v>
      </c>
    </row>
    <row r="9" spans="2:11" x14ac:dyDescent="0.35">
      <c r="C9" s="1" t="s">
        <v>31</v>
      </c>
      <c r="D9" s="43">
        <f>Sheet1!D7</f>
        <v>43770</v>
      </c>
      <c r="E9" s="49">
        <f>Sheet1!I7*1000</f>
        <v>5395.0000000000009</v>
      </c>
      <c r="F9" s="49">
        <f>Sheet1!N7</f>
        <v>80.099999999999994</v>
      </c>
      <c r="G9" s="49">
        <f>Sheet1!O7</f>
        <v>-17</v>
      </c>
      <c r="H9" s="33">
        <f>Sheet1!AP7</f>
        <v>5.8568094230038552</v>
      </c>
      <c r="I9" s="33">
        <f>Sheet1!AS7</f>
        <v>9.8819048835740659</v>
      </c>
      <c r="J9" s="50">
        <f>Sheet1!AU7</f>
        <v>0.43598078231800996</v>
      </c>
      <c r="K9" s="26" t="s">
        <v>69</v>
      </c>
    </row>
    <row r="10" spans="2:11" x14ac:dyDescent="0.35">
      <c r="C10" s="1" t="s">
        <v>32</v>
      </c>
      <c r="D10" s="43">
        <f>Sheet1!D8</f>
        <v>44440</v>
      </c>
      <c r="E10" s="49">
        <f>Sheet1!I8*1000</f>
        <v>10500</v>
      </c>
      <c r="F10" s="49">
        <f>Sheet1!N8</f>
        <v>189.8</v>
      </c>
      <c r="G10" s="49">
        <f>Sheet1!O8</f>
        <v>-57</v>
      </c>
      <c r="H10" s="33">
        <f>Sheet1!AP8</f>
        <v>10.847331556437114</v>
      </c>
      <c r="I10" s="33">
        <f>Sheet1!AS8</f>
        <v>12.259981835577165</v>
      </c>
      <c r="J10" s="50">
        <f>Sheet1!AU8</f>
        <v>0.36618388798901802</v>
      </c>
      <c r="K10" s="26" t="s">
        <v>69</v>
      </c>
    </row>
    <row r="11" spans="2:11" x14ac:dyDescent="0.35">
      <c r="C11" s="1" t="s">
        <v>33</v>
      </c>
      <c r="D11" s="43">
        <f>Sheet1!D10</f>
        <v>43770</v>
      </c>
      <c r="E11" s="49">
        <f>Sheet1!I10*1000</f>
        <v>207.50000000000003</v>
      </c>
      <c r="F11" s="49">
        <f>Sheet1!N10</f>
        <v>1.7</v>
      </c>
      <c r="G11" s="49">
        <f>Sheet1!O10</f>
        <v>-1</v>
      </c>
      <c r="H11" s="33">
        <f>Sheet1!AP10</f>
        <v>7.3089115885875318</v>
      </c>
      <c r="I11" s="33">
        <f>Sheet1!AS10</f>
        <v>9.8434535104364329</v>
      </c>
      <c r="J11" s="50">
        <f>Sheet1!AU10</f>
        <v>0.86758173330654409</v>
      </c>
      <c r="K11" s="26" t="s">
        <v>69</v>
      </c>
    </row>
    <row r="12" spans="2:11" x14ac:dyDescent="0.35">
      <c r="C12" s="1" t="s">
        <v>34</v>
      </c>
      <c r="D12" s="43">
        <f>Sheet1!D11</f>
        <v>44136</v>
      </c>
      <c r="E12" s="49">
        <f>Sheet1!I11*1000</f>
        <v>436</v>
      </c>
      <c r="F12" s="49">
        <f>Sheet1!N11</f>
        <v>12.1</v>
      </c>
      <c r="G12" s="49">
        <f>Sheet1!O11</f>
        <v>-4</v>
      </c>
      <c r="H12" s="33">
        <f>Sheet1!AP11</f>
        <v>10.919108439769598</v>
      </c>
      <c r="I12" s="33">
        <f>Sheet1!AS11</f>
        <v>11.623567048786992</v>
      </c>
      <c r="J12" s="50">
        <f>Sheet1!AU11</f>
        <v>0.4159925313952415</v>
      </c>
      <c r="K12" s="26" t="s">
        <v>69</v>
      </c>
    </row>
    <row r="13" spans="2:11" x14ac:dyDescent="0.35">
      <c r="C13" s="1" t="s">
        <v>35</v>
      </c>
      <c r="D13" s="43">
        <f>Sheet1!D13</f>
        <v>43983</v>
      </c>
      <c r="E13" s="49">
        <f>Sheet1!I13*1000</f>
        <v>3100</v>
      </c>
      <c r="F13" s="49">
        <f>Sheet1!N13</f>
        <v>20</v>
      </c>
      <c r="G13" s="49">
        <f>Sheet1!O13</f>
        <v>0.3</v>
      </c>
      <c r="H13" s="33">
        <f>Sheet1!AP13</f>
        <v>0.41</v>
      </c>
      <c r="I13" s="33">
        <f>Sheet1!AS13</f>
        <v>0.6166666666666667</v>
      </c>
      <c r="J13" s="50">
        <f>Sheet1!AU13</f>
        <v>0.82870767137135304</v>
      </c>
      <c r="K13" s="26" t="s">
        <v>69</v>
      </c>
    </row>
    <row r="14" spans="2:11" x14ac:dyDescent="0.35">
      <c r="C14" s="1" t="s">
        <v>36</v>
      </c>
      <c r="D14" s="43">
        <f>Sheet1!D15</f>
        <v>44136</v>
      </c>
      <c r="E14" s="49">
        <f>Sheet1!I15*1000</f>
        <v>15805</v>
      </c>
      <c r="F14" s="49">
        <f>Sheet1!N15</f>
        <v>36.799999999999997</v>
      </c>
      <c r="G14" s="49">
        <f>Sheet1!O15</f>
        <v>3</v>
      </c>
      <c r="H14" s="33">
        <f>Sheet1!AP15</f>
        <v>2.0344478521458496</v>
      </c>
      <c r="I14" s="33">
        <f>Sheet1!AS15</f>
        <v>2.3535691253954156</v>
      </c>
      <c r="J14" s="50">
        <f>Sheet1!AU15</f>
        <v>0.66298000827755055</v>
      </c>
      <c r="K14" s="26" t="s">
        <v>69</v>
      </c>
    </row>
    <row r="15" spans="2:11" x14ac:dyDescent="0.35">
      <c r="C15" s="1" t="s">
        <v>37</v>
      </c>
      <c r="D15" s="43">
        <f>Sheet1!D16</f>
        <v>44531</v>
      </c>
      <c r="E15" s="49">
        <f>Sheet1!I16*1000</f>
        <v>13560</v>
      </c>
      <c r="F15" s="49">
        <f>Sheet1!N16</f>
        <v>54.1</v>
      </c>
      <c r="G15" s="49">
        <f>Sheet1!O16</f>
        <v>-6</v>
      </c>
      <c r="H15" s="33">
        <f>Sheet1!AP16</f>
        <v>3.7989230892871491</v>
      </c>
      <c r="I15" s="33">
        <f>Sheet1!AS16</f>
        <v>4.1757357429177544</v>
      </c>
      <c r="J15" s="50">
        <f>Sheet1!AU16</f>
        <v>0.73809022640511479</v>
      </c>
      <c r="K15" s="26" t="s">
        <v>69</v>
      </c>
    </row>
    <row r="16" spans="2:11" x14ac:dyDescent="0.35">
      <c r="C16" s="1" t="s">
        <v>38</v>
      </c>
      <c r="D16" s="43">
        <f>Sheet1!D17</f>
        <v>45170</v>
      </c>
      <c r="E16" s="49">
        <f>Sheet1!I17*1000</f>
        <v>13500</v>
      </c>
      <c r="F16" s="49">
        <f>Sheet1!N17</f>
        <v>114.8</v>
      </c>
      <c r="G16" s="49">
        <f>Sheet1!O17</f>
        <v>10</v>
      </c>
      <c r="H16" s="33">
        <f>Sheet1!AP17</f>
        <v>1.427779537535635</v>
      </c>
      <c r="I16" s="33">
        <f>Sheet1!AS17</f>
        <v>1.8414011946241915</v>
      </c>
      <c r="J16" s="50">
        <f>Sheet1!AU17</f>
        <v>0.93536678676243068</v>
      </c>
      <c r="K16" s="26" t="s">
        <v>70</v>
      </c>
    </row>
    <row r="17" spans="2:11" x14ac:dyDescent="0.35">
      <c r="C17" s="1" t="s">
        <v>39</v>
      </c>
      <c r="D17" s="43">
        <f>Sheet1!D18</f>
        <v>45261</v>
      </c>
      <c r="E17" s="49">
        <f>Sheet1!I18*1000</f>
        <v>9680</v>
      </c>
      <c r="F17" s="49">
        <f>Sheet1!N18</f>
        <v>114.8</v>
      </c>
      <c r="G17" s="49">
        <f>Sheet1!O18</f>
        <v>10</v>
      </c>
      <c r="H17" s="33">
        <f>Sheet1!AP18</f>
        <v>1.4625293901022636</v>
      </c>
      <c r="I17" s="33">
        <f>Sheet1!AS18</f>
        <v>1.4554339548467925</v>
      </c>
      <c r="J17" s="50">
        <f>Sheet1!AU18</f>
        <v>1.1268137879895113</v>
      </c>
      <c r="K17" s="26" t="s">
        <v>70</v>
      </c>
    </row>
    <row r="18" spans="2:11" x14ac:dyDescent="0.35">
      <c r="C18" s="1" t="s">
        <v>40</v>
      </c>
      <c r="D18" s="43">
        <f>Sheet1!D20</f>
        <v>44166</v>
      </c>
      <c r="E18" s="49">
        <f>Sheet1!I20*1000</f>
        <v>4000</v>
      </c>
      <c r="F18" s="49">
        <f>Sheet1!N20</f>
        <v>3</v>
      </c>
      <c r="G18" s="49">
        <f>Sheet1!O20</f>
        <v>-3</v>
      </c>
      <c r="H18" s="33">
        <f>Sheet1!AP20</f>
        <v>12.995451591942819</v>
      </c>
      <c r="I18" s="33">
        <f>Sheet1!AS20</f>
        <v>20.7351055455938</v>
      </c>
      <c r="J18" s="50">
        <f>Sheet1!AU20</f>
        <v>0.89510563823760081</v>
      </c>
      <c r="K18" s="26" t="s">
        <v>69</v>
      </c>
    </row>
    <row r="19" spans="2:11" x14ac:dyDescent="0.35">
      <c r="C19" s="1" t="s">
        <v>41</v>
      </c>
      <c r="D19" s="43">
        <f>Sheet1!D21</f>
        <v>44501</v>
      </c>
      <c r="E19" s="49">
        <f>Sheet1!I21*1000</f>
        <v>5000</v>
      </c>
      <c r="F19" s="49">
        <f>Sheet1!N21</f>
        <v>4.3</v>
      </c>
      <c r="G19" s="49">
        <f>Sheet1!O21</f>
        <v>-8</v>
      </c>
      <c r="H19" s="33">
        <f>Sheet1!AP21</f>
        <v>27.231632264037906</v>
      </c>
      <c r="I19" s="33">
        <f>Sheet1!AS21</f>
        <v>32.024201736558936</v>
      </c>
      <c r="J19" s="50">
        <f>Sheet1!AU21</f>
        <v>1.0101931962065676</v>
      </c>
      <c r="K19" s="26" t="s">
        <v>69</v>
      </c>
    </row>
    <row r="20" spans="2:11" x14ac:dyDescent="0.35">
      <c r="C20" s="1" t="s">
        <v>42</v>
      </c>
      <c r="D20" s="43">
        <f>Sheet1!D23</f>
        <v>44409</v>
      </c>
      <c r="E20" s="49">
        <f>Sheet1!I23*1000</f>
        <v>28890</v>
      </c>
      <c r="F20" s="49">
        <f>Sheet1!N23</f>
        <v>4</v>
      </c>
      <c r="G20" s="49">
        <f>Sheet1!O23</f>
        <v>-3</v>
      </c>
      <c r="H20" s="33">
        <f>Sheet1!AP23</f>
        <v>49.367737525632258</v>
      </c>
      <c r="I20" s="33">
        <f>Sheet1!AS23</f>
        <v>61.709671907040317</v>
      </c>
      <c r="J20" s="50">
        <f>Sheet1!AU23</f>
        <v>1.082665825654304</v>
      </c>
      <c r="K20" s="26" t="s">
        <v>69</v>
      </c>
    </row>
    <row r="21" spans="2:11" x14ac:dyDescent="0.35">
      <c r="C21" s="6" t="s">
        <v>43</v>
      </c>
      <c r="D21" s="43">
        <f>Sheet1!D24</f>
        <v>45658</v>
      </c>
      <c r="E21" s="49">
        <f>Sheet1!I24*1000</f>
        <v>15000</v>
      </c>
      <c r="F21" s="49">
        <f>Sheet1!N24</f>
        <v>31.5</v>
      </c>
      <c r="G21" s="49">
        <f>Sheet1!O24</f>
        <v>30</v>
      </c>
      <c r="H21" s="33">
        <f>Sheet1!AP24</f>
        <v>4.285708201068342</v>
      </c>
      <c r="I21" s="33">
        <f>Sheet1!AS24</f>
        <v>4.285708201068342</v>
      </c>
      <c r="J21" s="50">
        <f>Sheet1!AU24</f>
        <v>3.0473349734074704</v>
      </c>
      <c r="K21" s="26" t="s">
        <v>70</v>
      </c>
    </row>
    <row r="22" spans="2:11" x14ac:dyDescent="0.35">
      <c r="C22" s="1" t="s">
        <v>44</v>
      </c>
      <c r="D22" s="43">
        <f>Sheet1!D26</f>
        <v>44805</v>
      </c>
      <c r="E22" s="49">
        <f>Sheet1!I26*1000</f>
        <v>12500</v>
      </c>
      <c r="F22" s="49">
        <f>Sheet1!N26</f>
        <v>36</v>
      </c>
      <c r="G22" s="49">
        <f>Sheet1!O26</f>
        <v>-1</v>
      </c>
      <c r="H22" s="33">
        <f>Sheet1!AP26</f>
        <v>3.9031597604204871</v>
      </c>
      <c r="I22" s="33">
        <f>Sheet1!AS26</f>
        <v>3.9031597604204871</v>
      </c>
      <c r="J22" s="50">
        <f>Sheet1!AU26</f>
        <v>0.57256466010551121</v>
      </c>
      <c r="K22" s="26" t="s">
        <v>70</v>
      </c>
    </row>
    <row r="23" spans="2:11" x14ac:dyDescent="0.35">
      <c r="C23" s="1" t="s">
        <v>45</v>
      </c>
      <c r="D23" s="43">
        <f>Sheet1!D28</f>
        <v>45383</v>
      </c>
      <c r="E23" s="49">
        <f>Sheet1!I28*1000</f>
        <v>12500</v>
      </c>
      <c r="F23" s="49">
        <f>Sheet1!N28</f>
        <v>5</v>
      </c>
      <c r="G23" s="49">
        <f>Sheet1!O28</f>
        <v>-8.9190000000000005</v>
      </c>
      <c r="H23" s="33">
        <f>Sheet1!AP28</f>
        <v>5</v>
      </c>
      <c r="I23" s="33">
        <f>Sheet1!AS28</f>
        <v>5</v>
      </c>
      <c r="J23" s="50">
        <f>Sheet1!AU28</f>
        <v>0.99487849854333987</v>
      </c>
      <c r="K23" s="26" t="s">
        <v>70</v>
      </c>
    </row>
    <row r="24" spans="2:11" x14ac:dyDescent="0.35">
      <c r="C24" s="1" t="s">
        <v>47</v>
      </c>
      <c r="D24" s="43">
        <f>Sheet1!D29</f>
        <v>45689</v>
      </c>
      <c r="E24" s="49">
        <f>Sheet1!I29*1000</f>
        <v>3500</v>
      </c>
      <c r="F24" s="49">
        <f>Sheet1!N29</f>
        <v>8.5519999999999996</v>
      </c>
      <c r="G24" s="49">
        <f>Sheet1!O29</f>
        <v>-4.0999999999999996</v>
      </c>
      <c r="H24" s="33">
        <f>Sheet1!AP29</f>
        <v>2.9232927970065483</v>
      </c>
      <c r="I24" s="33">
        <f>Sheet1!AS29</f>
        <v>2.9232927970065483</v>
      </c>
      <c r="J24" s="50">
        <f>Sheet1!AU29</f>
        <v>1.1319277550338032</v>
      </c>
      <c r="K24" s="26" t="s">
        <v>70</v>
      </c>
    </row>
    <row r="25" spans="2:11" x14ac:dyDescent="0.35">
      <c r="C25" s="1" t="s">
        <v>48</v>
      </c>
      <c r="D25" s="43">
        <f>Sheet1!D31</f>
        <v>45505</v>
      </c>
      <c r="E25" s="49">
        <f>Sheet1!I31*1000</f>
        <v>12500</v>
      </c>
      <c r="F25" s="49">
        <f>Sheet1!N31</f>
        <v>16</v>
      </c>
      <c r="G25" s="49">
        <f>Sheet1!O31</f>
        <v>-6</v>
      </c>
      <c r="H25" s="33">
        <f>Sheet1!AP31</f>
        <v>5.1915380559815976</v>
      </c>
      <c r="I25" s="33">
        <f>Sheet1!AS31</f>
        <v>5.319522471910112</v>
      </c>
      <c r="J25" s="50">
        <f>Sheet1!AU31</f>
        <v>1.6046939117620047</v>
      </c>
      <c r="K25" s="26" t="s">
        <v>70</v>
      </c>
    </row>
    <row r="26" spans="2:11" x14ac:dyDescent="0.35">
      <c r="C26" s="6" t="s">
        <v>49</v>
      </c>
      <c r="D26" s="43">
        <f>Sheet1!D32</f>
        <v>45748</v>
      </c>
      <c r="E26" s="49">
        <f>Sheet1!I32*1000</f>
        <v>5265</v>
      </c>
      <c r="F26" s="49">
        <f>Sheet1!N32</f>
        <v>35</v>
      </c>
      <c r="G26" s="49">
        <f>Sheet1!O32</f>
        <v>2</v>
      </c>
      <c r="H26" s="33">
        <f>Sheet1!AP32</f>
        <v>2.1050438117463384</v>
      </c>
      <c r="I26" s="33">
        <f>Sheet1!AS32</f>
        <v>2.1050438117463384</v>
      </c>
      <c r="J26" s="50">
        <f>Sheet1!AU32</f>
        <v>0.84116223680006885</v>
      </c>
      <c r="K26" s="26" t="s">
        <v>70</v>
      </c>
    </row>
    <row r="28" spans="2:11" x14ac:dyDescent="0.35">
      <c r="C28" s="60" t="s">
        <v>71</v>
      </c>
      <c r="D28" s="60"/>
      <c r="E28" s="60"/>
      <c r="F28" s="60"/>
      <c r="G28" s="60"/>
      <c r="H28" s="61">
        <f>AVERAGE(H8:H26)</f>
        <v>8.4753052260809412</v>
      </c>
      <c r="I28" s="61">
        <f>AVERAGE(I8:I26)</f>
        <v>10.461337281598539</v>
      </c>
      <c r="J28" s="62">
        <f>AVERAGE(J8:J26)</f>
        <v>0.94526204809463721</v>
      </c>
      <c r="K28" s="63"/>
    </row>
    <row r="29" spans="2:11" x14ac:dyDescent="0.35">
      <c r="C29" s="60" t="s">
        <v>72</v>
      </c>
      <c r="D29" s="60"/>
      <c r="E29" s="60"/>
      <c r="F29" s="60"/>
      <c r="G29" s="60"/>
      <c r="H29" s="61">
        <f>MEDIAN(H8:H26)</f>
        <v>4.285708201068342</v>
      </c>
      <c r="I29" s="61">
        <f>MEDIAN(I8:I26)</f>
        <v>5</v>
      </c>
      <c r="J29" s="62">
        <f>MEDIAN(J8:J26)</f>
        <v>0.86758173330654409</v>
      </c>
      <c r="K29" s="63"/>
    </row>
    <row r="30" spans="2:11" x14ac:dyDescent="0.35">
      <c r="C30" s="60" t="s">
        <v>73</v>
      </c>
      <c r="D30" s="60"/>
      <c r="E30" s="60"/>
      <c r="F30" s="60"/>
      <c r="G30" s="60"/>
      <c r="H30" s="61">
        <f>SUMPRODUCT($E$8:$E$26,H8:H26)/SUM($E$8:$E$26)</f>
        <v>12.247388459752306</v>
      </c>
      <c r="I30" s="61">
        <f>SUMPRODUCT($E$8:$E$26,I8:I26)/SUM($E$8:$E$26)</f>
        <v>14.97237428753389</v>
      </c>
      <c r="J30" s="62">
        <f>SUMPRODUCT($E$8:$E$26,J8:J26)/SUM($E$8:$E$26)</f>
        <v>1.0678536135847942</v>
      </c>
      <c r="K30" s="63"/>
    </row>
    <row r="31" spans="2:11" x14ac:dyDescent="0.35">
      <c r="H31" s="33"/>
      <c r="I31" s="33"/>
      <c r="J31" s="50"/>
    </row>
    <row r="32" spans="2:11" s="64" customFormat="1" x14ac:dyDescent="0.35">
      <c r="B32" s="64" t="s">
        <v>56</v>
      </c>
      <c r="C32" s="64" t="s">
        <v>74</v>
      </c>
      <c r="H32" s="69"/>
      <c r="I32" s="69"/>
      <c r="J32" s="70"/>
      <c r="K32" s="65"/>
    </row>
    <row r="33" spans="3:10" x14ac:dyDescent="0.35">
      <c r="H33" s="33"/>
      <c r="I33" s="33"/>
      <c r="J33" s="50"/>
    </row>
    <row r="34" spans="3:10" x14ac:dyDescent="0.35">
      <c r="C34" s="66"/>
      <c r="D34" s="68"/>
      <c r="E34" s="68" t="s">
        <v>58</v>
      </c>
      <c r="F34" s="68"/>
      <c r="G34" s="68"/>
      <c r="H34" s="68" t="s">
        <v>59</v>
      </c>
      <c r="I34" s="68" t="s">
        <v>60</v>
      </c>
      <c r="J34" s="68"/>
    </row>
    <row r="35" spans="3:10" x14ac:dyDescent="0.35">
      <c r="C35" s="66" t="s">
        <v>61</v>
      </c>
      <c r="D35" s="67" t="s">
        <v>62</v>
      </c>
      <c r="E35" s="68" t="s">
        <v>63</v>
      </c>
      <c r="F35" s="68" t="s">
        <v>64</v>
      </c>
      <c r="G35" s="68" t="s">
        <v>65</v>
      </c>
      <c r="H35" s="68" t="s">
        <v>66</v>
      </c>
      <c r="I35" s="68" t="s">
        <v>66</v>
      </c>
      <c r="J35" s="68" t="s">
        <v>67</v>
      </c>
    </row>
    <row r="36" spans="3:10" x14ac:dyDescent="0.35">
      <c r="C36" s="1" t="s">
        <v>38</v>
      </c>
      <c r="D36" s="43">
        <f t="shared" ref="D36:D43" ca="1" si="0">OFFSET(D$8,MATCH($C36,$C$8:$C$26,0)-1,0)</f>
        <v>45170</v>
      </c>
      <c r="E36" s="49">
        <f t="shared" ref="E36:J36" ca="1" si="1">OFFSET(E$8,MATCH($C36,$C$8:$C$26,0)-1,0)</f>
        <v>13500</v>
      </c>
      <c r="F36" s="49">
        <f t="shared" ca="1" si="1"/>
        <v>114.8</v>
      </c>
      <c r="G36" s="49">
        <f t="shared" ca="1" si="1"/>
        <v>10</v>
      </c>
      <c r="H36" s="33">
        <f t="shared" ca="1" si="1"/>
        <v>1.427779537535635</v>
      </c>
      <c r="I36" s="33">
        <f t="shared" ca="1" si="1"/>
        <v>1.8414011946241915</v>
      </c>
      <c r="J36" s="50">
        <f t="shared" ca="1" si="1"/>
        <v>0.93536678676243068</v>
      </c>
    </row>
    <row r="37" spans="3:10" x14ac:dyDescent="0.35">
      <c r="C37" s="1" t="s">
        <v>39</v>
      </c>
      <c r="D37" s="43">
        <f t="shared" ca="1" si="0"/>
        <v>45261</v>
      </c>
      <c r="E37" s="49">
        <f t="shared" ref="E37:J43" ca="1" si="2">OFFSET(E$8,MATCH($C37,$C$8:$C$26,0)-1,0)</f>
        <v>9680</v>
      </c>
      <c r="F37" s="49">
        <f t="shared" ca="1" si="2"/>
        <v>114.8</v>
      </c>
      <c r="G37" s="49">
        <f t="shared" ca="1" si="2"/>
        <v>10</v>
      </c>
      <c r="H37" s="33">
        <f t="shared" ca="1" si="2"/>
        <v>1.4625293901022636</v>
      </c>
      <c r="I37" s="33">
        <f t="shared" ca="1" si="2"/>
        <v>1.4554339548467925</v>
      </c>
      <c r="J37" s="50">
        <f t="shared" ca="1" si="2"/>
        <v>1.1268137879895113</v>
      </c>
    </row>
    <row r="38" spans="3:10" x14ac:dyDescent="0.35">
      <c r="C38" s="6" t="s">
        <v>43</v>
      </c>
      <c r="D38" s="43">
        <f t="shared" ca="1" si="0"/>
        <v>45658</v>
      </c>
      <c r="E38" s="49">
        <f t="shared" ca="1" si="2"/>
        <v>15000</v>
      </c>
      <c r="F38" s="49">
        <f t="shared" ca="1" si="2"/>
        <v>31.5</v>
      </c>
      <c r="G38" s="49">
        <f t="shared" ca="1" si="2"/>
        <v>30</v>
      </c>
      <c r="H38" s="33">
        <f t="shared" ca="1" si="2"/>
        <v>4.285708201068342</v>
      </c>
      <c r="I38" s="33">
        <f t="shared" ca="1" si="2"/>
        <v>4.285708201068342</v>
      </c>
      <c r="J38" s="50">
        <f t="shared" ca="1" si="2"/>
        <v>3.0473349734074704</v>
      </c>
    </row>
    <row r="39" spans="3:10" x14ac:dyDescent="0.35">
      <c r="C39" s="1" t="s">
        <v>44</v>
      </c>
      <c r="D39" s="43">
        <f t="shared" ca="1" si="0"/>
        <v>44805</v>
      </c>
      <c r="E39" s="49">
        <f t="shared" ca="1" si="2"/>
        <v>12500</v>
      </c>
      <c r="F39" s="49">
        <f t="shared" ca="1" si="2"/>
        <v>36</v>
      </c>
      <c r="G39" s="49">
        <f t="shared" ca="1" si="2"/>
        <v>-1</v>
      </c>
      <c r="H39" s="33">
        <f t="shared" ca="1" si="2"/>
        <v>3.9031597604204871</v>
      </c>
      <c r="I39" s="33">
        <f t="shared" ca="1" si="2"/>
        <v>3.9031597604204871</v>
      </c>
      <c r="J39" s="50">
        <f t="shared" ca="1" si="2"/>
        <v>0.57256466010551121</v>
      </c>
    </row>
    <row r="40" spans="3:10" x14ac:dyDescent="0.35">
      <c r="C40" s="1" t="s">
        <v>45</v>
      </c>
      <c r="D40" s="43">
        <f t="shared" ca="1" si="0"/>
        <v>45383</v>
      </c>
      <c r="E40" s="49">
        <f t="shared" ca="1" si="2"/>
        <v>12500</v>
      </c>
      <c r="F40" s="49">
        <f t="shared" ca="1" si="2"/>
        <v>5</v>
      </c>
      <c r="G40" s="49">
        <f t="shared" ca="1" si="2"/>
        <v>-8.9190000000000005</v>
      </c>
      <c r="H40" s="33">
        <f t="shared" ca="1" si="2"/>
        <v>5</v>
      </c>
      <c r="I40" s="33">
        <f t="shared" ca="1" si="2"/>
        <v>5</v>
      </c>
      <c r="J40" s="50">
        <f t="shared" ca="1" si="2"/>
        <v>0.99487849854333987</v>
      </c>
    </row>
    <row r="41" spans="3:10" x14ac:dyDescent="0.35">
      <c r="C41" s="1" t="s">
        <v>47</v>
      </c>
      <c r="D41" s="43">
        <f t="shared" ca="1" si="0"/>
        <v>45689</v>
      </c>
      <c r="E41" s="49">
        <f t="shared" ca="1" si="2"/>
        <v>3500</v>
      </c>
      <c r="F41" s="49">
        <f t="shared" ca="1" si="2"/>
        <v>8.5519999999999996</v>
      </c>
      <c r="G41" s="49">
        <f t="shared" ca="1" si="2"/>
        <v>-4.0999999999999996</v>
      </c>
      <c r="H41" s="33">
        <f t="shared" ca="1" si="2"/>
        <v>2.9232927970065483</v>
      </c>
      <c r="I41" s="33">
        <f t="shared" ca="1" si="2"/>
        <v>2.9232927970065483</v>
      </c>
      <c r="J41" s="50">
        <f t="shared" ca="1" si="2"/>
        <v>1.1319277550338032</v>
      </c>
    </row>
    <row r="42" spans="3:10" x14ac:dyDescent="0.35">
      <c r="C42" s="1" t="s">
        <v>48</v>
      </c>
      <c r="D42" s="43">
        <f t="shared" ca="1" si="0"/>
        <v>45505</v>
      </c>
      <c r="E42" s="49">
        <f t="shared" ca="1" si="2"/>
        <v>12500</v>
      </c>
      <c r="F42" s="49">
        <f t="shared" ca="1" si="2"/>
        <v>16</v>
      </c>
      <c r="G42" s="49">
        <f t="shared" ca="1" si="2"/>
        <v>-6</v>
      </c>
      <c r="H42" s="33">
        <f t="shared" ca="1" si="2"/>
        <v>5.1915380559815976</v>
      </c>
      <c r="I42" s="33">
        <f t="shared" ca="1" si="2"/>
        <v>5.319522471910112</v>
      </c>
      <c r="J42" s="50">
        <f t="shared" ca="1" si="2"/>
        <v>1.6046939117620047</v>
      </c>
    </row>
    <row r="43" spans="3:10" x14ac:dyDescent="0.35">
      <c r="C43" s="6" t="s">
        <v>49</v>
      </c>
      <c r="D43" s="43">
        <f t="shared" ca="1" si="0"/>
        <v>45748</v>
      </c>
      <c r="E43" s="49">
        <f t="shared" ca="1" si="2"/>
        <v>5265</v>
      </c>
      <c r="F43" s="49">
        <f t="shared" ca="1" si="2"/>
        <v>35</v>
      </c>
      <c r="G43" s="49">
        <f t="shared" ca="1" si="2"/>
        <v>2</v>
      </c>
      <c r="H43" s="33">
        <f t="shared" ca="1" si="2"/>
        <v>2.1050438117463384</v>
      </c>
      <c r="I43" s="33">
        <f t="shared" ca="1" si="2"/>
        <v>2.1050438117463384</v>
      </c>
      <c r="J43" s="50">
        <f t="shared" ca="1" si="2"/>
        <v>0.84116223680006885</v>
      </c>
    </row>
    <row r="44" spans="3:10" x14ac:dyDescent="0.35">
      <c r="C44" s="6" t="s">
        <v>75</v>
      </c>
      <c r="D44" s="43"/>
      <c r="E44" s="49">
        <f ca="1">SUM(E36:E43)</f>
        <v>84445</v>
      </c>
      <c r="F44" s="49"/>
      <c r="G44" s="49"/>
      <c r="H44" s="33"/>
      <c r="I44" s="33"/>
      <c r="J44" s="50"/>
    </row>
    <row r="45" spans="3:10" x14ac:dyDescent="0.35">
      <c r="C45" s="1"/>
      <c r="D45" s="2"/>
      <c r="E45" s="49"/>
      <c r="F45" s="49"/>
      <c r="G45" s="49"/>
      <c r="H45" s="33"/>
      <c r="I45" s="33"/>
      <c r="J45" s="50"/>
    </row>
    <row r="46" spans="3:10" x14ac:dyDescent="0.35">
      <c r="C46" s="60" t="s">
        <v>71</v>
      </c>
      <c r="D46" s="60"/>
      <c r="E46" s="60"/>
      <c r="F46" s="60"/>
      <c r="G46" s="60"/>
      <c r="H46" s="61">
        <f ca="1">AVERAGE(H36:H43)</f>
        <v>3.2873814442326519</v>
      </c>
      <c r="I46" s="61">
        <f ca="1">AVERAGE(I36:I43)</f>
        <v>3.3541952739528513</v>
      </c>
      <c r="J46" s="62">
        <f ca="1">AVERAGE(J36:J43)</f>
        <v>1.2818428263005173</v>
      </c>
    </row>
    <row r="47" spans="3:10" x14ac:dyDescent="0.35">
      <c r="C47" s="60" t="s">
        <v>72</v>
      </c>
      <c r="D47" s="60"/>
      <c r="E47" s="60"/>
      <c r="F47" s="60"/>
      <c r="G47" s="60"/>
      <c r="H47" s="61">
        <f ca="1">MEDIAN(H36:H43)</f>
        <v>3.4132262787135179</v>
      </c>
      <c r="I47" s="61">
        <f ca="1">MEDIAN(I36:I43)</f>
        <v>3.4132262787135179</v>
      </c>
      <c r="J47" s="62">
        <f ca="1">MEDIAN(J36:J43)</f>
        <v>1.0608461432664256</v>
      </c>
    </row>
    <row r="48" spans="3:10" x14ac:dyDescent="0.35">
      <c r="C48" s="60" t="s">
        <v>73</v>
      </c>
      <c r="D48" s="60"/>
      <c r="E48" s="60"/>
      <c r="F48" s="60"/>
      <c r="G48" s="60"/>
      <c r="H48" s="61">
        <f ca="1">SUMPRODUCT($E$36:$E$43,H36:H43)/SUM($E$36:$E$43)</f>
        <v>3.4959587238124175</v>
      </c>
      <c r="I48" s="61">
        <f ca="1">SUMPRODUCT($E$36:$E$43,I36:I43)/SUM($E$36:$E$43)</f>
        <v>3.5802149113490267</v>
      </c>
      <c r="J48" s="62">
        <f ca="1">SUMPRODUCT($E$36:$E$43,J36:J43)/SUM($E$36:$E$43)</f>
        <v>1.3889183893617112</v>
      </c>
    </row>
    <row r="49" spans="2:11" x14ac:dyDescent="0.35">
      <c r="C49" s="1"/>
      <c r="D49" s="2"/>
      <c r="E49" s="49"/>
      <c r="F49" s="49"/>
      <c r="G49" s="49"/>
      <c r="H49" s="33"/>
      <c r="I49" s="33"/>
      <c r="J49" s="50"/>
    </row>
    <row r="50" spans="2:11" s="64" customFormat="1" x14ac:dyDescent="0.35">
      <c r="B50" s="64" t="s">
        <v>56</v>
      </c>
      <c r="C50" s="64" t="s">
        <v>76</v>
      </c>
      <c r="D50" s="71"/>
      <c r="E50" s="72"/>
      <c r="F50" s="72"/>
      <c r="G50" s="72"/>
      <c r="H50" s="69"/>
      <c r="I50" s="69"/>
      <c r="J50" s="70"/>
      <c r="K50" s="65"/>
    </row>
    <row r="51" spans="2:11" x14ac:dyDescent="0.35">
      <c r="C51" s="1"/>
      <c r="D51" s="2"/>
      <c r="E51" s="49"/>
      <c r="F51" s="49"/>
      <c r="G51" s="49"/>
      <c r="H51" s="33"/>
      <c r="I51" s="33"/>
      <c r="J51" s="50"/>
    </row>
    <row r="52" spans="2:11" x14ac:dyDescent="0.35">
      <c r="C52" s="66"/>
      <c r="D52" s="68"/>
      <c r="E52" s="68" t="s">
        <v>58</v>
      </c>
      <c r="F52" s="68"/>
      <c r="G52" s="68"/>
      <c r="H52" s="68" t="s">
        <v>59</v>
      </c>
      <c r="I52" s="68" t="s">
        <v>60</v>
      </c>
      <c r="J52" s="68"/>
    </row>
    <row r="53" spans="2:11" x14ac:dyDescent="0.35">
      <c r="C53" s="66" t="s">
        <v>61</v>
      </c>
      <c r="D53" s="67" t="s">
        <v>62</v>
      </c>
      <c r="E53" s="68" t="s">
        <v>63</v>
      </c>
      <c r="F53" s="68" t="s">
        <v>64</v>
      </c>
      <c r="G53" s="68" t="s">
        <v>65</v>
      </c>
      <c r="H53" s="68" t="s">
        <v>66</v>
      </c>
      <c r="I53" s="68" t="s">
        <v>66</v>
      </c>
      <c r="J53" s="68" t="s">
        <v>67</v>
      </c>
    </row>
    <row r="54" spans="2:11" x14ac:dyDescent="0.35">
      <c r="C54" s="1" t="s">
        <v>29</v>
      </c>
      <c r="D54" s="43">
        <v>43617</v>
      </c>
      <c r="E54" s="49">
        <f t="shared" ref="E54:J69" ca="1" si="3">OFFSET(E$8,MATCH($C54,$C$8:$C$26,0)-1,0)</f>
        <v>5775</v>
      </c>
      <c r="F54" s="49">
        <f t="shared" ca="1" si="3"/>
        <v>80.099999999999994</v>
      </c>
      <c r="G54" s="49">
        <f t="shared" ca="1" si="3"/>
        <v>-17</v>
      </c>
      <c r="H54" s="33">
        <f t="shared" ca="1" si="3"/>
        <v>3.9613944108326136</v>
      </c>
      <c r="I54" s="33">
        <f t="shared" ca="1" si="3"/>
        <v>6.707988156201897</v>
      </c>
      <c r="J54" s="50">
        <f t="shared" ca="1" si="3"/>
        <v>0.40175480223266202</v>
      </c>
    </row>
    <row r="55" spans="2:11" x14ac:dyDescent="0.35">
      <c r="C55" s="1" t="s">
        <v>31</v>
      </c>
      <c r="D55" s="43">
        <v>43770</v>
      </c>
      <c r="E55" s="49">
        <f t="shared" ca="1" si="3"/>
        <v>5395.0000000000009</v>
      </c>
      <c r="F55" s="49">
        <f t="shared" ca="1" si="3"/>
        <v>80.099999999999994</v>
      </c>
      <c r="G55" s="49">
        <f t="shared" ca="1" si="3"/>
        <v>-17</v>
      </c>
      <c r="H55" s="33">
        <f t="shared" ca="1" si="3"/>
        <v>5.8568094230038552</v>
      </c>
      <c r="I55" s="33">
        <f t="shared" ca="1" si="3"/>
        <v>9.8819048835740659</v>
      </c>
      <c r="J55" s="50">
        <f t="shared" ca="1" si="3"/>
        <v>0.43598078231800996</v>
      </c>
    </row>
    <row r="56" spans="2:11" x14ac:dyDescent="0.35">
      <c r="C56" s="6" t="s">
        <v>32</v>
      </c>
      <c r="D56" s="43">
        <v>44440</v>
      </c>
      <c r="E56" s="49">
        <f t="shared" ca="1" si="3"/>
        <v>10500</v>
      </c>
      <c r="F56" s="49">
        <f t="shared" ca="1" si="3"/>
        <v>189.8</v>
      </c>
      <c r="G56" s="49">
        <f t="shared" ca="1" si="3"/>
        <v>-57</v>
      </c>
      <c r="H56" s="33">
        <f t="shared" ca="1" si="3"/>
        <v>10.847331556437114</v>
      </c>
      <c r="I56" s="33">
        <f t="shared" ca="1" si="3"/>
        <v>12.259981835577165</v>
      </c>
      <c r="J56" s="50">
        <f t="shared" ca="1" si="3"/>
        <v>0.36618388798901802</v>
      </c>
    </row>
    <row r="57" spans="2:11" x14ac:dyDescent="0.35">
      <c r="C57" s="1" t="s">
        <v>33</v>
      </c>
      <c r="D57" s="43">
        <v>43770</v>
      </c>
      <c r="E57" s="49">
        <f t="shared" ca="1" si="3"/>
        <v>207.50000000000003</v>
      </c>
      <c r="F57" s="49">
        <f t="shared" ca="1" si="3"/>
        <v>1.7</v>
      </c>
      <c r="G57" s="49">
        <f t="shared" ca="1" si="3"/>
        <v>-1</v>
      </c>
      <c r="H57" s="33">
        <f t="shared" ca="1" si="3"/>
        <v>7.3089115885875318</v>
      </c>
      <c r="I57" s="33">
        <f t="shared" ca="1" si="3"/>
        <v>9.8434535104364329</v>
      </c>
      <c r="J57" s="50">
        <f t="shared" ca="1" si="3"/>
        <v>0.86758173330654409</v>
      </c>
    </row>
    <row r="58" spans="2:11" x14ac:dyDescent="0.35">
      <c r="C58" s="1" t="s">
        <v>34</v>
      </c>
      <c r="D58" s="43">
        <v>44136</v>
      </c>
      <c r="E58" s="49">
        <f t="shared" ca="1" si="3"/>
        <v>436</v>
      </c>
      <c r="F58" s="49">
        <f t="shared" ca="1" si="3"/>
        <v>12.1</v>
      </c>
      <c r="G58" s="49">
        <f t="shared" ca="1" si="3"/>
        <v>-4</v>
      </c>
      <c r="H58" s="33">
        <f t="shared" ca="1" si="3"/>
        <v>10.919108439769598</v>
      </c>
      <c r="I58" s="33">
        <f t="shared" ca="1" si="3"/>
        <v>11.623567048786992</v>
      </c>
      <c r="J58" s="50">
        <f t="shared" ca="1" si="3"/>
        <v>0.4159925313952415</v>
      </c>
    </row>
    <row r="59" spans="2:11" x14ac:dyDescent="0.35">
      <c r="C59" s="1" t="s">
        <v>35</v>
      </c>
      <c r="D59" s="43">
        <v>43983</v>
      </c>
      <c r="E59" s="49">
        <f t="shared" ca="1" si="3"/>
        <v>3100</v>
      </c>
      <c r="F59" s="49">
        <f t="shared" ca="1" si="3"/>
        <v>20</v>
      </c>
      <c r="G59" s="49">
        <f t="shared" ca="1" si="3"/>
        <v>0.3</v>
      </c>
      <c r="H59" s="33">
        <f t="shared" ca="1" si="3"/>
        <v>0.41</v>
      </c>
      <c r="I59" s="33">
        <f t="shared" ca="1" si="3"/>
        <v>0.6166666666666667</v>
      </c>
      <c r="J59" s="50">
        <f t="shared" ca="1" si="3"/>
        <v>0.82870767137135304</v>
      </c>
    </row>
    <row r="60" spans="2:11" x14ac:dyDescent="0.35">
      <c r="C60" s="1" t="s">
        <v>36</v>
      </c>
      <c r="D60" s="43">
        <v>44136</v>
      </c>
      <c r="E60" s="49">
        <f t="shared" ca="1" si="3"/>
        <v>15805</v>
      </c>
      <c r="F60" s="49">
        <f t="shared" ca="1" si="3"/>
        <v>36.799999999999997</v>
      </c>
      <c r="G60" s="49">
        <f t="shared" ca="1" si="3"/>
        <v>3</v>
      </c>
      <c r="H60" s="33">
        <f t="shared" ca="1" si="3"/>
        <v>2.0344478521458496</v>
      </c>
      <c r="I60" s="33">
        <f t="shared" ca="1" si="3"/>
        <v>2.3535691253954156</v>
      </c>
      <c r="J60" s="50">
        <f t="shared" ca="1" si="3"/>
        <v>0.66298000827755055</v>
      </c>
    </row>
    <row r="61" spans="2:11" x14ac:dyDescent="0.35">
      <c r="C61" s="6" t="s">
        <v>37</v>
      </c>
      <c r="D61" s="43">
        <v>44531</v>
      </c>
      <c r="E61" s="49">
        <f t="shared" ca="1" si="3"/>
        <v>13560</v>
      </c>
      <c r="F61" s="49">
        <f t="shared" ca="1" si="3"/>
        <v>54.1</v>
      </c>
      <c r="G61" s="49">
        <f t="shared" ca="1" si="3"/>
        <v>-6</v>
      </c>
      <c r="H61" s="33">
        <f t="shared" ca="1" si="3"/>
        <v>3.7989230892871491</v>
      </c>
      <c r="I61" s="33">
        <f t="shared" ca="1" si="3"/>
        <v>4.1757357429177544</v>
      </c>
      <c r="J61" s="50">
        <f t="shared" ca="1" si="3"/>
        <v>0.73809022640511479</v>
      </c>
    </row>
    <row r="62" spans="2:11" x14ac:dyDescent="0.35">
      <c r="C62" s="6" t="s">
        <v>38</v>
      </c>
      <c r="D62" s="43">
        <v>45170</v>
      </c>
      <c r="E62" s="49">
        <f t="shared" ca="1" si="3"/>
        <v>13500</v>
      </c>
      <c r="F62" s="49">
        <f t="shared" ca="1" si="3"/>
        <v>114.8</v>
      </c>
      <c r="G62" s="49">
        <f t="shared" ca="1" si="3"/>
        <v>10</v>
      </c>
      <c r="H62" s="33">
        <f t="shared" ca="1" si="3"/>
        <v>1.427779537535635</v>
      </c>
      <c r="I62" s="33">
        <f t="shared" ca="1" si="3"/>
        <v>1.8414011946241915</v>
      </c>
      <c r="J62" s="50">
        <f t="shared" ca="1" si="3"/>
        <v>0.93536678676243068</v>
      </c>
    </row>
    <row r="63" spans="2:11" x14ac:dyDescent="0.35">
      <c r="C63" s="6" t="s">
        <v>39</v>
      </c>
      <c r="D63" s="43">
        <v>45261</v>
      </c>
      <c r="E63" s="49">
        <f t="shared" ca="1" si="3"/>
        <v>9680</v>
      </c>
      <c r="F63" s="49">
        <f t="shared" ca="1" si="3"/>
        <v>114.8</v>
      </c>
      <c r="G63" s="49">
        <f t="shared" ca="1" si="3"/>
        <v>10</v>
      </c>
      <c r="H63" s="33">
        <f t="shared" ca="1" si="3"/>
        <v>1.4625293901022636</v>
      </c>
      <c r="I63" s="33">
        <f t="shared" ca="1" si="3"/>
        <v>1.4554339548467925</v>
      </c>
      <c r="J63" s="50">
        <f t="shared" ca="1" si="3"/>
        <v>1.1268137879895113</v>
      </c>
    </row>
    <row r="64" spans="2:11" x14ac:dyDescent="0.35">
      <c r="C64" s="6" t="s">
        <v>40</v>
      </c>
      <c r="D64" s="43">
        <v>44166</v>
      </c>
      <c r="E64" s="49">
        <f t="shared" ca="1" si="3"/>
        <v>4000</v>
      </c>
      <c r="F64" s="49">
        <f t="shared" ca="1" si="3"/>
        <v>3</v>
      </c>
      <c r="G64" s="49">
        <f t="shared" ca="1" si="3"/>
        <v>-3</v>
      </c>
      <c r="H64" s="33">
        <f t="shared" ca="1" si="3"/>
        <v>12.995451591942819</v>
      </c>
      <c r="I64" s="33">
        <f t="shared" ca="1" si="3"/>
        <v>20.7351055455938</v>
      </c>
      <c r="J64" s="50">
        <f t="shared" ca="1" si="3"/>
        <v>0.89510563823760081</v>
      </c>
    </row>
    <row r="65" spans="3:10" x14ac:dyDescent="0.35">
      <c r="C65" s="6" t="s">
        <v>41</v>
      </c>
      <c r="D65" s="43">
        <v>44501</v>
      </c>
      <c r="E65" s="49">
        <f t="shared" ca="1" si="3"/>
        <v>5000</v>
      </c>
      <c r="F65" s="49">
        <f t="shared" ca="1" si="3"/>
        <v>4.3</v>
      </c>
      <c r="G65" s="49">
        <f t="shared" ca="1" si="3"/>
        <v>-8</v>
      </c>
      <c r="H65" s="33">
        <f t="shared" ca="1" si="3"/>
        <v>27.231632264037906</v>
      </c>
      <c r="I65" s="33">
        <f t="shared" ca="1" si="3"/>
        <v>32.024201736558936</v>
      </c>
      <c r="J65" s="50">
        <f t="shared" ca="1" si="3"/>
        <v>1.0101931962065676</v>
      </c>
    </row>
    <row r="66" spans="3:10" x14ac:dyDescent="0.35">
      <c r="C66" s="6" t="s">
        <v>42</v>
      </c>
      <c r="D66" s="43"/>
      <c r="E66" s="49"/>
      <c r="F66" s="49"/>
      <c r="G66" s="49"/>
      <c r="H66" s="33"/>
      <c r="I66" s="33"/>
      <c r="J66" s="50"/>
    </row>
    <row r="67" spans="3:10" x14ac:dyDescent="0.35">
      <c r="C67" s="6" t="s">
        <v>43</v>
      </c>
      <c r="D67" s="43">
        <v>45658</v>
      </c>
      <c r="E67" s="49">
        <f t="shared" ca="1" si="3"/>
        <v>15000</v>
      </c>
      <c r="F67" s="49">
        <f t="shared" ca="1" si="3"/>
        <v>31.5</v>
      </c>
      <c r="G67" s="49">
        <f t="shared" ca="1" si="3"/>
        <v>30</v>
      </c>
      <c r="H67" s="33">
        <f t="shared" ca="1" si="3"/>
        <v>4.285708201068342</v>
      </c>
      <c r="I67" s="33">
        <f t="shared" ca="1" si="3"/>
        <v>4.285708201068342</v>
      </c>
      <c r="J67" s="50">
        <f t="shared" ca="1" si="3"/>
        <v>3.0473349734074704</v>
      </c>
    </row>
    <row r="68" spans="3:10" x14ac:dyDescent="0.35">
      <c r="C68" s="6" t="s">
        <v>44</v>
      </c>
      <c r="D68" s="43">
        <v>44805</v>
      </c>
      <c r="E68" s="49">
        <f t="shared" ca="1" si="3"/>
        <v>12500</v>
      </c>
      <c r="F68" s="49">
        <f t="shared" ca="1" si="3"/>
        <v>36</v>
      </c>
      <c r="G68" s="49">
        <f t="shared" ca="1" si="3"/>
        <v>-1</v>
      </c>
      <c r="H68" s="33">
        <f t="shared" ca="1" si="3"/>
        <v>3.9031597604204871</v>
      </c>
      <c r="I68" s="33">
        <f t="shared" ca="1" si="3"/>
        <v>3.9031597604204871</v>
      </c>
      <c r="J68" s="50">
        <f t="shared" ca="1" si="3"/>
        <v>0.57256466010551121</v>
      </c>
    </row>
    <row r="69" spans="3:10" x14ac:dyDescent="0.35">
      <c r="C69" s="6" t="s">
        <v>45</v>
      </c>
      <c r="D69" s="43">
        <v>45383</v>
      </c>
      <c r="E69" s="49">
        <f t="shared" ca="1" si="3"/>
        <v>12500</v>
      </c>
      <c r="F69" s="49">
        <f t="shared" ca="1" si="3"/>
        <v>5</v>
      </c>
      <c r="G69" s="49">
        <f t="shared" ca="1" si="3"/>
        <v>-8.9190000000000005</v>
      </c>
      <c r="H69" s="33">
        <f t="shared" ca="1" si="3"/>
        <v>5</v>
      </c>
      <c r="I69" s="33">
        <f t="shared" ca="1" si="3"/>
        <v>5</v>
      </c>
      <c r="J69" s="50">
        <f t="shared" ca="1" si="3"/>
        <v>0.99487849854333987</v>
      </c>
    </row>
    <row r="70" spans="3:10" x14ac:dyDescent="0.35">
      <c r="C70" s="6" t="s">
        <v>47</v>
      </c>
      <c r="D70" s="43">
        <v>45689</v>
      </c>
      <c r="E70" s="49">
        <f t="shared" ref="E70:J72" ca="1" si="4">OFFSET(E$8,MATCH($C70,$C$8:$C$26,0)-1,0)</f>
        <v>3500</v>
      </c>
      <c r="F70" s="49">
        <f t="shared" ca="1" si="4"/>
        <v>8.5519999999999996</v>
      </c>
      <c r="G70" s="49">
        <f t="shared" ca="1" si="4"/>
        <v>-4.0999999999999996</v>
      </c>
      <c r="H70" s="33">
        <f t="shared" ca="1" si="4"/>
        <v>2.9232927970065483</v>
      </c>
      <c r="I70" s="33">
        <f t="shared" ca="1" si="4"/>
        <v>2.9232927970065483</v>
      </c>
      <c r="J70" s="50">
        <f t="shared" ca="1" si="4"/>
        <v>1.1319277550338032</v>
      </c>
    </row>
    <row r="71" spans="3:10" x14ac:dyDescent="0.35">
      <c r="C71" s="6" t="s">
        <v>48</v>
      </c>
      <c r="D71" s="43">
        <v>45505</v>
      </c>
      <c r="E71" s="49">
        <f t="shared" ca="1" si="4"/>
        <v>12500</v>
      </c>
      <c r="F71" s="49">
        <f t="shared" ca="1" si="4"/>
        <v>16</v>
      </c>
      <c r="G71" s="49">
        <f t="shared" ca="1" si="4"/>
        <v>-6</v>
      </c>
      <c r="H71" s="33">
        <f t="shared" ca="1" si="4"/>
        <v>5.1915380559815976</v>
      </c>
      <c r="I71" s="33">
        <f t="shared" ca="1" si="4"/>
        <v>5.319522471910112</v>
      </c>
      <c r="J71" s="50">
        <f t="shared" ca="1" si="4"/>
        <v>1.6046939117620047</v>
      </c>
    </row>
    <row r="72" spans="3:10" x14ac:dyDescent="0.35">
      <c r="C72" s="6" t="s">
        <v>49</v>
      </c>
      <c r="D72" s="43">
        <v>45748</v>
      </c>
      <c r="E72" s="49">
        <f t="shared" ca="1" si="4"/>
        <v>5265</v>
      </c>
      <c r="F72" s="49">
        <f t="shared" ca="1" si="4"/>
        <v>35</v>
      </c>
      <c r="G72" s="49">
        <f t="shared" ca="1" si="4"/>
        <v>2</v>
      </c>
      <c r="H72" s="33">
        <f t="shared" ca="1" si="4"/>
        <v>2.1050438117463384</v>
      </c>
      <c r="I72" s="33">
        <f t="shared" ca="1" si="4"/>
        <v>2.1050438117463384</v>
      </c>
      <c r="J72" s="50">
        <f t="shared" ca="1" si="4"/>
        <v>0.84116223680006885</v>
      </c>
    </row>
    <row r="73" spans="3:10" x14ac:dyDescent="0.35">
      <c r="C73" s="1"/>
      <c r="D73" s="2"/>
      <c r="E73" s="49"/>
      <c r="F73" s="49"/>
      <c r="G73" s="49"/>
      <c r="H73" s="33"/>
      <c r="I73" s="33"/>
      <c r="J73" s="50"/>
    </row>
    <row r="74" spans="3:10" x14ac:dyDescent="0.35">
      <c r="C74" s="60" t="s">
        <v>71</v>
      </c>
      <c r="D74" s="60"/>
      <c r="E74" s="60"/>
      <c r="F74" s="60"/>
      <c r="G74" s="60"/>
      <c r="H74" s="61">
        <f ca="1">AVERAGE(H54:H72)</f>
        <v>6.2035034316614253</v>
      </c>
      <c r="I74" s="61">
        <f ca="1">AVERAGE(I54:I72)</f>
        <v>7.6142075801851075</v>
      </c>
      <c r="J74" s="62">
        <f ca="1">AVERAGE(J54:J72)</f>
        <v>0.93762850489687777</v>
      </c>
    </row>
    <row r="75" spans="3:10" x14ac:dyDescent="0.35">
      <c r="C75" s="60" t="s">
        <v>72</v>
      </c>
      <c r="D75" s="60"/>
      <c r="E75" s="60"/>
      <c r="F75" s="60"/>
      <c r="G75" s="60"/>
      <c r="H75" s="61">
        <f ca="1">MEDIAN(H54:H72)</f>
        <v>4.1235513059504783</v>
      </c>
      <c r="I75" s="61">
        <f ca="1">MEDIAN(I54:I72)</f>
        <v>4.642854100534171</v>
      </c>
      <c r="J75" s="62">
        <f ca="1">MEDIAN(J54:J72)</f>
        <v>0.85437198505330647</v>
      </c>
    </row>
    <row r="76" spans="3:10" x14ac:dyDescent="0.35">
      <c r="C76" s="60" t="s">
        <v>73</v>
      </c>
      <c r="D76" s="60"/>
      <c r="E76" s="60"/>
      <c r="F76" s="60"/>
      <c r="G76" s="60"/>
      <c r="H76" s="61">
        <f ca="1">SUMPRODUCT($E$54:$E$72,H54:H72)/SUM($E$54:$E$72)</f>
        <v>5.0123219250039606</v>
      </c>
      <c r="I76" s="61">
        <f ca="1">SUMPRODUCT($E$54:$E$72,I54:I72)/SUM($E$54:$E$72)</f>
        <v>5.8628840364769372</v>
      </c>
      <c r="J76" s="62">
        <f ca="1">SUMPRODUCT($E$54:$E$72,J54:J72)/SUM($E$54:$E$72)</f>
        <v>1.064966589552248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8D5F7F14B484190020F388917D6AE" ma:contentTypeVersion="19" ma:contentTypeDescription="Create a new document." ma:contentTypeScope="" ma:versionID="859f8c24736f28c103e520a1d6c615be">
  <xsd:schema xmlns:xsd="http://www.w3.org/2001/XMLSchema" xmlns:xs="http://www.w3.org/2001/XMLSchema" xmlns:p="http://schemas.microsoft.com/office/2006/metadata/properties" xmlns:ns2="d6d29631-d5d0-4f5e-9514-c54f0ea2ac86" xmlns:ns3="1203adf9-779b-4ba9-a36c-acbfb9bf2b1f" targetNamespace="http://schemas.microsoft.com/office/2006/metadata/properties" ma:root="true" ma:fieldsID="d2a0d6b19256eb979e48ba95b2fed657" ns2:_="" ns3:_="">
    <xsd:import namespace="d6d29631-d5d0-4f5e-9514-c54f0ea2ac86"/>
    <xsd:import namespace="1203adf9-779b-4ba9-a36c-acbfb9bf2b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DocumentosNovos_x003f_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9631-d5d0-4f5e-9514-c54f0ea2a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DocumentosNovos_x003f_" ma:index="18" nillable="true" ma:displayName="Documentos Novos?" ma:default="1" ma:format="Dropdown" ma:internalName="DocumentosNovos_x003f_">
      <xsd:simpleType>
        <xsd:restriction base="dms:Boolean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7612b62-b175-4cab-b09a-85625d73ae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3adf9-779b-4ba9-a36c-acbfb9bf2b1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4a0fad1-5ef9-4308-9ee0-9cc95dfe6482}" ma:internalName="TaxCatchAll" ma:showField="CatchAllData" ma:web="1203adf9-779b-4ba9-a36c-acbfb9bf2b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203adf9-779b-4ba9-a36c-acbfb9bf2b1f">
      <UserInfo>
        <DisplayName/>
        <AccountId xsi:nil="true"/>
        <AccountType/>
      </UserInfo>
    </SharedWithUsers>
    <DocumentosNovos_x003f_ xmlns="d6d29631-d5d0-4f5e-9514-c54f0ea2ac86">true</DocumentosNovos_x003f_>
    <lcf76f155ced4ddcb4097134ff3c332f xmlns="d6d29631-d5d0-4f5e-9514-c54f0ea2ac86">
      <Terms xmlns="http://schemas.microsoft.com/office/infopath/2007/PartnerControls"/>
    </lcf76f155ced4ddcb4097134ff3c332f>
    <TaxCatchAll xmlns="1203adf9-779b-4ba9-a36c-acbfb9bf2b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33C62E-445F-4906-A926-A0101B33E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29631-d5d0-4f5e-9514-c54f0ea2ac86"/>
    <ds:schemaRef ds:uri="1203adf9-779b-4ba9-a36c-acbfb9bf2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2D860-F1D1-43A4-8AFA-570D192A278E}">
  <ds:schemaRefs>
    <ds:schemaRef ds:uri="http://schemas.microsoft.com/office/2006/metadata/properties"/>
    <ds:schemaRef ds:uri="http://schemas.microsoft.com/office/infopath/2007/PartnerControls"/>
    <ds:schemaRef ds:uri="1203adf9-779b-4ba9-a36c-acbfb9bf2b1f"/>
    <ds:schemaRef ds:uri="d6d29631-d5d0-4f5e-9514-c54f0ea2ac86"/>
  </ds:schemaRefs>
</ds:datastoreItem>
</file>

<file path=customXml/itemProps3.xml><?xml version="1.0" encoding="utf-8"?>
<ds:datastoreItem xmlns:ds="http://schemas.openxmlformats.org/officeDocument/2006/customXml" ds:itemID="{E09E8AAD-F171-4E9B-A636-0292B79268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Leone | Spectra Investimentos</dc:creator>
  <cp:keywords/>
  <dc:description/>
  <cp:lastModifiedBy>Amanda Bastos | Spectra Investimentos</cp:lastModifiedBy>
  <cp:revision/>
  <dcterms:created xsi:type="dcterms:W3CDTF">2025-11-11T16:42:04Z</dcterms:created>
  <dcterms:modified xsi:type="dcterms:W3CDTF">2025-12-16T01:50:01Z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0x0101007C08D5F7F14B484190020F388917D6AE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{"FileActivityType":"6","FileActivityTimeStamp":"2025-11-13T22:25:29.673Z","FileActivityUsersOnPage":[{"DisplayName":"Matheus Leone | Spectra Investimentos","Id":"mleone@spectrainvest.com"}],"FileActivityNavigationId":null}</vt:lpwstr>
  </property>
  <property fmtid="{D5CDD505-2E9C-101B-9397-08002B2CF9AE}" pid="7" name="TriggerFlowInfo">
    <vt:lpwstr/>
  </property>
</Properties>
</file>