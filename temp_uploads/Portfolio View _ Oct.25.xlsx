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ectrainvestimentos-my.sharepoint.com/personal/abastos_spectrainvest_com/Documents/Documentos/- Primaria/Shift/"/>
    </mc:Choice>
  </mc:AlternateContent>
  <xr:revisionPtr revIDLastSave="101" documentId="8_{1F28750F-4503-4F47-8E6F-C707B83A7AE8}" xr6:coauthVersionLast="47" xr6:coauthVersionMax="47" xr10:uidLastSave="{2A512D03-7ED9-43D7-8F59-E6426A7EAC32}"/>
  <bookViews>
    <workbookView xWindow="-110" yWindow="-110" windowWidth="19420" windowHeight="10300" tabRatio="524" activeTab="2" xr2:uid="{0D0BA20E-8526-4AB3-BF73-0BBA26EDEB00}"/>
  </bookViews>
  <sheets>
    <sheet name="Cover" sheetId="14" r:id="rId1"/>
    <sheet name="1- Consolidated" sheetId="4" r:id="rId2"/>
    <sheet name="2- Detailed" sheetId="16" r:id="rId3"/>
    <sheet name="3- Support - FX rate" sheetId="1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19" i="16" l="1"/>
  <c r="AJ19" i="16" s="1"/>
  <c r="F22" i="16"/>
  <c r="J22" i="16"/>
  <c r="AC22" i="16" s="1"/>
  <c r="L22" i="16"/>
  <c r="T22" i="16"/>
  <c r="AM22" i="16"/>
  <c r="AN22" i="16"/>
  <c r="AL37" i="16"/>
  <c r="AJ41" i="16"/>
  <c r="AJ40" i="16"/>
  <c r="AJ39" i="16"/>
  <c r="AJ38" i="16"/>
  <c r="AJ35" i="16"/>
  <c r="AJ32" i="16"/>
  <c r="AJ30" i="16"/>
  <c r="AJ27" i="16"/>
  <c r="AJ24" i="16"/>
  <c r="AJ17" i="16"/>
  <c r="AJ14" i="16"/>
  <c r="AJ7" i="16"/>
  <c r="AI7" i="16"/>
  <c r="AI10" i="16"/>
  <c r="AI14" i="16"/>
  <c r="AI17" i="16"/>
  <c r="AI24" i="16"/>
  <c r="AI27" i="16"/>
  <c r="AI30" i="16"/>
  <c r="AI32" i="16"/>
  <c r="AI35" i="16"/>
  <c r="AI38" i="16"/>
  <c r="AI39" i="16"/>
  <c r="AI40" i="16"/>
  <c r="AI41" i="16"/>
  <c r="X10" i="16"/>
  <c r="AJ10" i="16" s="1"/>
  <c r="AI19" i="16" l="1"/>
  <c r="R32" i="16"/>
  <c r="R28" i="16"/>
  <c r="B10" i="14"/>
  <c r="B11" i="14" s="1"/>
  <c r="AC37" i="16"/>
  <c r="AC16" i="16"/>
  <c r="AC15" i="16"/>
  <c r="AC28" i="16"/>
  <c r="AC23" i="16"/>
  <c r="AC21" i="16"/>
  <c r="AC20" i="16"/>
  <c r="AC13" i="16"/>
  <c r="AC12" i="16"/>
  <c r="AC11" i="16"/>
  <c r="AD30" i="16"/>
  <c r="AD31" i="16" s="1"/>
  <c r="AE31" i="16" s="1"/>
  <c r="AE30" i="16" s="1"/>
  <c r="AD35" i="16"/>
  <c r="AD36" i="16" s="1"/>
  <c r="AD32" i="16"/>
  <c r="AD33" i="16" s="1"/>
  <c r="AD34" i="16" s="1"/>
  <c r="AE34" i="16" s="1"/>
  <c r="AD14" i="16"/>
  <c r="AD15" i="16" s="1"/>
  <c r="AE15" i="16" s="1"/>
  <c r="AD27" i="16"/>
  <c r="AD28" i="16" s="1"/>
  <c r="AD29" i="16" s="1"/>
  <c r="AE29" i="16" s="1"/>
  <c r="AD24" i="16"/>
  <c r="AD25" i="16" s="1"/>
  <c r="AD26" i="16" s="1"/>
  <c r="AE26" i="16" s="1"/>
  <c r="AD19" i="16"/>
  <c r="AD20" i="16" s="1"/>
  <c r="AD21" i="16" s="1"/>
  <c r="AE21" i="16" s="1"/>
  <c r="AD7" i="16"/>
  <c r="AD8" i="16" s="1"/>
  <c r="J31" i="16"/>
  <c r="AC31" i="16" s="1"/>
  <c r="G15" i="4" s="1"/>
  <c r="J9" i="16"/>
  <c r="AC9" i="16" s="1"/>
  <c r="J18" i="16"/>
  <c r="AC18" i="16" s="1"/>
  <c r="AC17" i="16" s="1"/>
  <c r="J11" i="16"/>
  <c r="J12" i="16"/>
  <c r="J13" i="16"/>
  <c r="J20" i="16"/>
  <c r="J21" i="16"/>
  <c r="J23" i="16"/>
  <c r="J25" i="16"/>
  <c r="J26" i="16"/>
  <c r="J28" i="16"/>
  <c r="J29" i="16"/>
  <c r="AC29" i="16" s="1"/>
  <c r="J15" i="16"/>
  <c r="J16" i="16"/>
  <c r="J33" i="16"/>
  <c r="AC33" i="16" s="1"/>
  <c r="J34" i="16"/>
  <c r="AC34" i="16" s="1"/>
  <c r="J36" i="16"/>
  <c r="AC36" i="16" s="1"/>
  <c r="J37" i="16"/>
  <c r="J8" i="16"/>
  <c r="AC8" i="16" s="1"/>
  <c r="G17" i="4" l="1"/>
  <c r="G18" i="4"/>
  <c r="AF15" i="16"/>
  <c r="G10" i="4"/>
  <c r="G16" i="4"/>
  <c r="G9" i="4"/>
  <c r="AF21" i="16"/>
  <c r="I15" i="4"/>
  <c r="AE36" i="16"/>
  <c r="AF36" i="16" s="1"/>
  <c r="AE20" i="16"/>
  <c r="AF20" i="16" s="1"/>
  <c r="L54" i="16"/>
  <c r="K54" i="16"/>
  <c r="F14" i="4" s="1"/>
  <c r="AF29" i="16"/>
  <c r="AF34" i="16"/>
  <c r="AE25" i="16"/>
  <c r="AE28" i="16"/>
  <c r="AF31" i="16"/>
  <c r="AE33" i="16"/>
  <c r="AF33" i="16" s="1"/>
  <c r="AC35" i="16"/>
  <c r="AC27" i="16"/>
  <c r="AC7" i="16"/>
  <c r="AC10" i="16"/>
  <c r="AC14" i="16"/>
  <c r="AC32" i="16"/>
  <c r="AC30" i="16"/>
  <c r="AF30" i="16" s="1"/>
  <c r="AD9" i="16"/>
  <c r="AD23" i="16"/>
  <c r="AD22" i="16" s="1"/>
  <c r="AE22" i="16" s="1"/>
  <c r="AF22" i="16" s="1"/>
  <c r="AG22" i="16" s="1"/>
  <c r="AD37" i="16"/>
  <c r="AE37" i="16" s="1"/>
  <c r="I18" i="4" s="1"/>
  <c r="AD16" i="16"/>
  <c r="AE16" i="16" s="1"/>
  <c r="F43" i="16"/>
  <c r="F42" i="16"/>
  <c r="F40" i="16"/>
  <c r="F39" i="16"/>
  <c r="F31" i="16"/>
  <c r="F37" i="16"/>
  <c r="F36" i="16"/>
  <c r="F34" i="16"/>
  <c r="F33" i="16"/>
  <c r="F16" i="16"/>
  <c r="F15" i="16"/>
  <c r="F29" i="16"/>
  <c r="F28" i="16"/>
  <c r="F26" i="16"/>
  <c r="F25" i="16"/>
  <c r="F23" i="16"/>
  <c r="F21" i="16"/>
  <c r="F20" i="16"/>
  <c r="F13" i="16"/>
  <c r="F12" i="16"/>
  <c r="F11" i="16"/>
  <c r="F18" i="16"/>
  <c r="F9" i="16"/>
  <c r="F8" i="16"/>
  <c r="AE23" i="16" l="1"/>
  <c r="AF23" i="16" s="1"/>
  <c r="G14" i="4"/>
  <c r="I17" i="4"/>
  <c r="AE32" i="16"/>
  <c r="AF32" i="16" s="1"/>
  <c r="AE14" i="16"/>
  <c r="AF14" i="16" s="1"/>
  <c r="AF16" i="16"/>
  <c r="AE35" i="16"/>
  <c r="AF35" i="16" s="1"/>
  <c r="AF37" i="16"/>
  <c r="AE27" i="16"/>
  <c r="AF27" i="16" s="1"/>
  <c r="AF28" i="16"/>
  <c r="AE24" i="16"/>
  <c r="AC19" i="16"/>
  <c r="I16" i="4"/>
  <c r="M54" i="16" l="1"/>
  <c r="I14" i="4"/>
  <c r="J14" i="4" s="1"/>
  <c r="AE19" i="16"/>
  <c r="AF19" i="16" s="1"/>
  <c r="L8" i="16"/>
  <c r="L9" i="16"/>
  <c r="L18" i="16"/>
  <c r="L11" i="16"/>
  <c r="L12" i="16"/>
  <c r="L13" i="16"/>
  <c r="L20" i="16"/>
  <c r="L21" i="16"/>
  <c r="L23" i="16"/>
  <c r="L28" i="16"/>
  <c r="L29" i="16"/>
  <c r="L15" i="16"/>
  <c r="L16" i="16"/>
  <c r="L33" i="16"/>
  <c r="AM33" i="16" s="1"/>
  <c r="L34" i="16"/>
  <c r="L36" i="16"/>
  <c r="AM36" i="16" s="1"/>
  <c r="L37" i="16"/>
  <c r="L31" i="16"/>
  <c r="L43" i="16"/>
  <c r="L42" i="16"/>
  <c r="L40" i="16"/>
  <c r="L39" i="16"/>
  <c r="F49" i="16"/>
  <c r="AD10" i="16"/>
  <c r="AD11" i="16" s="1"/>
  <c r="AE11" i="16" s="1"/>
  <c r="AD17" i="16"/>
  <c r="AD18" i="16" s="1"/>
  <c r="AE18" i="16" s="1"/>
  <c r="I11" i="4" s="1"/>
  <c r="K26" i="16"/>
  <c r="K25" i="16"/>
  <c r="N15" i="4" l="1"/>
  <c r="AM31" i="16"/>
  <c r="L45" i="16"/>
  <c r="L26" i="16"/>
  <c r="N12" i="4" s="1"/>
  <c r="AC26" i="16"/>
  <c r="G12" i="4" s="1"/>
  <c r="AF18" i="16"/>
  <c r="AE17" i="16"/>
  <c r="AF17" i="16" s="1"/>
  <c r="AF11" i="16"/>
  <c r="L50" i="16"/>
  <c r="U22" i="16" s="1"/>
  <c r="L25" i="16"/>
  <c r="N11" i="4" s="1"/>
  <c r="AC25" i="16"/>
  <c r="AD12" i="16"/>
  <c r="AE12" i="16" s="1"/>
  <c r="AF12" i="16" s="1"/>
  <c r="N10" i="4"/>
  <c r="N16" i="4"/>
  <c r="N17" i="4"/>
  <c r="N9" i="4"/>
  <c r="N18" i="4"/>
  <c r="X52" i="16"/>
  <c r="F50" i="16"/>
  <c r="K50" i="16" s="1"/>
  <c r="M14" i="4" s="1"/>
  <c r="L49" i="16" l="1"/>
  <c r="V22" i="16" s="1"/>
  <c r="K49" i="16"/>
  <c r="M8" i="4" s="1"/>
  <c r="M6" i="4" s="1"/>
  <c r="G11" i="4"/>
  <c r="G8" i="4" s="1"/>
  <c r="G6" i="4" s="1"/>
  <c r="K53" i="16"/>
  <c r="F8" i="4" s="1"/>
  <c r="F6" i="4" s="1"/>
  <c r="L53" i="16"/>
  <c r="AF26" i="16"/>
  <c r="I10" i="4"/>
  <c r="AC24" i="16"/>
  <c r="AF24" i="16" s="1"/>
  <c r="AF25" i="16"/>
  <c r="N8" i="4"/>
  <c r="AD13" i="16"/>
  <c r="AE13" i="16" s="1"/>
  <c r="N14" i="4"/>
  <c r="X31" i="16"/>
  <c r="X36" i="16"/>
  <c r="X33" i="16"/>
  <c r="X15" i="16"/>
  <c r="X28" i="16"/>
  <c r="X25" i="16"/>
  <c r="X20" i="16"/>
  <c r="X11" i="16"/>
  <c r="X18" i="16"/>
  <c r="X8" i="16"/>
  <c r="R30" i="16"/>
  <c r="R35" i="16"/>
  <c r="R27" i="16"/>
  <c r="R19" i="16"/>
  <c r="R17" i="16"/>
  <c r="Y25" i="16" l="1"/>
  <c r="AI25" i="16"/>
  <c r="AJ25" i="16"/>
  <c r="Y28" i="16"/>
  <c r="AJ28" i="16"/>
  <c r="AI28" i="16"/>
  <c r="Y33" i="16"/>
  <c r="AI33" i="16"/>
  <c r="AJ33" i="16"/>
  <c r="X9" i="16"/>
  <c r="AJ8" i="16"/>
  <c r="AI8" i="16"/>
  <c r="Y36" i="16"/>
  <c r="AJ36" i="16"/>
  <c r="AI36" i="16"/>
  <c r="Y11" i="16"/>
  <c r="AI11" i="16"/>
  <c r="AJ11" i="16"/>
  <c r="Y15" i="16"/>
  <c r="AI15" i="16"/>
  <c r="AJ15" i="16"/>
  <c r="Y18" i="16"/>
  <c r="AJ18" i="16"/>
  <c r="AI18" i="16"/>
  <c r="Y31" i="16"/>
  <c r="AJ31" i="16"/>
  <c r="AI31" i="16"/>
  <c r="Y20" i="16"/>
  <c r="AJ20" i="16"/>
  <c r="AI20" i="16"/>
  <c r="AF13" i="16"/>
  <c r="I12" i="4"/>
  <c r="AE10" i="16"/>
  <c r="AF10" i="16" s="1"/>
  <c r="N6" i="4"/>
  <c r="X29" i="16"/>
  <c r="X16" i="16"/>
  <c r="X34" i="16"/>
  <c r="X37" i="16"/>
  <c r="X12" i="16"/>
  <c r="X26" i="16"/>
  <c r="X21" i="16"/>
  <c r="R14" i="16"/>
  <c r="R24" i="16"/>
  <c r="R10" i="16"/>
  <c r="R9" i="16"/>
  <c r="R8" i="16"/>
  <c r="Y12" i="16" l="1"/>
  <c r="AJ12" i="16"/>
  <c r="AI12" i="16"/>
  <c r="Y37" i="16"/>
  <c r="AI37" i="16"/>
  <c r="AJ37" i="16"/>
  <c r="Y26" i="16"/>
  <c r="AJ26" i="16"/>
  <c r="AI26" i="16"/>
  <c r="Y34" i="16"/>
  <c r="AJ34" i="16"/>
  <c r="AI34" i="16"/>
  <c r="AI9" i="16"/>
  <c r="AJ9" i="16"/>
  <c r="Y16" i="16"/>
  <c r="AJ16" i="16"/>
  <c r="AI16" i="16"/>
  <c r="Y29" i="16"/>
  <c r="Y27" i="16" s="1"/>
  <c r="AI29" i="16"/>
  <c r="AJ29" i="16"/>
  <c r="Y21" i="16"/>
  <c r="AI21" i="16"/>
  <c r="AJ21" i="16"/>
  <c r="Y8" i="16"/>
  <c r="AE8" i="16"/>
  <c r="Y9" i="16"/>
  <c r="AE9" i="16"/>
  <c r="AF9" i="16" s="1"/>
  <c r="X13" i="16"/>
  <c r="X23" i="16"/>
  <c r="X22" i="16" s="1"/>
  <c r="L30" i="16"/>
  <c r="T31" i="16"/>
  <c r="T36" i="16"/>
  <c r="AN36" i="16" s="1"/>
  <c r="T37" i="16"/>
  <c r="T33" i="16"/>
  <c r="AN33" i="16" s="1"/>
  <c r="T34" i="16"/>
  <c r="T18" i="16"/>
  <c r="AG18" i="16" s="1"/>
  <c r="Y17" i="16"/>
  <c r="T29" i="16"/>
  <c r="AG29" i="16" s="1"/>
  <c r="T16" i="16"/>
  <c r="AG16" i="16" s="1"/>
  <c r="T15" i="16"/>
  <c r="AG15" i="16" s="1"/>
  <c r="T28" i="16"/>
  <c r="AG28" i="16" s="1"/>
  <c r="T26" i="16"/>
  <c r="AG26" i="16" s="1"/>
  <c r="T25" i="16"/>
  <c r="AG25" i="16" s="1"/>
  <c r="T23" i="16"/>
  <c r="AG23" i="16" s="1"/>
  <c r="T21" i="16"/>
  <c r="AG21" i="16" s="1"/>
  <c r="T20" i="16"/>
  <c r="AG20" i="16" s="1"/>
  <c r="T13" i="16"/>
  <c r="AG13" i="16" s="1"/>
  <c r="T12" i="16"/>
  <c r="AG12" i="16" s="1"/>
  <c r="T11" i="16"/>
  <c r="AG11" i="16" s="1"/>
  <c r="T9" i="16"/>
  <c r="T8" i="16"/>
  <c r="R7" i="16"/>
  <c r="P17" i="4"/>
  <c r="Y22" i="16" l="1"/>
  <c r="Z22" i="16" s="1"/>
  <c r="AA22" i="16" s="1"/>
  <c r="AJ22" i="16"/>
  <c r="AI22" i="16"/>
  <c r="AG31" i="16"/>
  <c r="AN31" i="16"/>
  <c r="Y13" i="16"/>
  <c r="M49" i="16" s="1"/>
  <c r="AI13" i="16"/>
  <c r="AJ13" i="16"/>
  <c r="Y23" i="16"/>
  <c r="Y45" i="16" s="1"/>
  <c r="Z45" i="16" s="1"/>
  <c r="AI23" i="16"/>
  <c r="AJ23" i="16"/>
  <c r="Y7" i="16"/>
  <c r="I9" i="4"/>
  <c r="I8" i="4" s="1"/>
  <c r="M53" i="16"/>
  <c r="AG9" i="16"/>
  <c r="AF8" i="16"/>
  <c r="AG8" i="16" s="1"/>
  <c r="AE7" i="16"/>
  <c r="AF7" i="16" s="1"/>
  <c r="Y30" i="16"/>
  <c r="P15" i="4"/>
  <c r="P18" i="4"/>
  <c r="P11" i="4"/>
  <c r="P9" i="4"/>
  <c r="P10" i="4"/>
  <c r="Y35" i="16"/>
  <c r="X51" i="16"/>
  <c r="V31" i="16"/>
  <c r="U37" i="16"/>
  <c r="V37" i="16"/>
  <c r="U36" i="16"/>
  <c r="V36" i="16"/>
  <c r="U34" i="16"/>
  <c r="V34" i="16"/>
  <c r="U33" i="16"/>
  <c r="V33" i="16"/>
  <c r="U16" i="16"/>
  <c r="V16" i="16"/>
  <c r="U15" i="16"/>
  <c r="V15" i="16"/>
  <c r="U29" i="16"/>
  <c r="V29" i="16"/>
  <c r="U28" i="16"/>
  <c r="V28" i="16"/>
  <c r="U26" i="16"/>
  <c r="V26" i="16"/>
  <c r="U25" i="16"/>
  <c r="V25" i="16"/>
  <c r="U23" i="16"/>
  <c r="V23" i="16"/>
  <c r="U21" i="16"/>
  <c r="V21" i="16"/>
  <c r="U20" i="16"/>
  <c r="V20" i="16"/>
  <c r="U13" i="16"/>
  <c r="V13" i="16"/>
  <c r="U12" i="16"/>
  <c r="V12" i="16"/>
  <c r="U11" i="16"/>
  <c r="V11" i="16"/>
  <c r="U18" i="16"/>
  <c r="V18" i="16"/>
  <c r="U9" i="16"/>
  <c r="V9" i="16"/>
  <c r="U8" i="16"/>
  <c r="V8" i="16"/>
  <c r="U31" i="16"/>
  <c r="L41" i="16"/>
  <c r="M42" i="16" s="1"/>
  <c r="L38" i="16"/>
  <c r="M39" i="16" s="1"/>
  <c r="M31" i="16"/>
  <c r="Z18" i="16"/>
  <c r="AA18" i="16" s="1"/>
  <c r="L17" i="16"/>
  <c r="M18" i="16" s="1"/>
  <c r="L35" i="16"/>
  <c r="M37" i="16" s="1"/>
  <c r="L27" i="16"/>
  <c r="M29" i="16" s="1"/>
  <c r="Y32" i="16"/>
  <c r="L32" i="16"/>
  <c r="L7" i="16"/>
  <c r="M8" i="16" s="1"/>
  <c r="L19" i="16"/>
  <c r="M22" i="16" s="1"/>
  <c r="Z16" i="16"/>
  <c r="AA16" i="16" s="1"/>
  <c r="Z21" i="16"/>
  <c r="AA21" i="16" s="1"/>
  <c r="L24" i="16"/>
  <c r="M25" i="16" s="1"/>
  <c r="Z37" i="16"/>
  <c r="Z12" i="16"/>
  <c r="AA12" i="16" s="1"/>
  <c r="Z29" i="16"/>
  <c r="AA29" i="16" s="1"/>
  <c r="Z33" i="16"/>
  <c r="Z9" i="16"/>
  <c r="AA9" i="16" s="1"/>
  <c r="L10" i="16"/>
  <c r="M11" i="16" s="1"/>
  <c r="Z11" i="16"/>
  <c r="AA11" i="16" s="1"/>
  <c r="Z20" i="16"/>
  <c r="AA20" i="16" s="1"/>
  <c r="Z28" i="16"/>
  <c r="AA28" i="16" s="1"/>
  <c r="Z36" i="16"/>
  <c r="L14" i="16"/>
  <c r="M15" i="16" s="1"/>
  <c r="Z26" i="16"/>
  <c r="AA26" i="16" s="1"/>
  <c r="Z25" i="16"/>
  <c r="AA25" i="16" s="1"/>
  <c r="Y24" i="16"/>
  <c r="Z15" i="16"/>
  <c r="AA15" i="16" s="1"/>
  <c r="Y14" i="16"/>
  <c r="Z31" i="16"/>
  <c r="AA31" i="16" s="1"/>
  <c r="Z8" i="16"/>
  <c r="AA8" i="16" s="1"/>
  <c r="Z34" i="16"/>
  <c r="Z13" i="16" l="1"/>
  <c r="AA13" i="16" s="1"/>
  <c r="Y10" i="16"/>
  <c r="M20" i="16"/>
  <c r="P16" i="4"/>
  <c r="P14" i="4" s="1"/>
  <c r="Q14" i="4" s="1"/>
  <c r="I6" i="4"/>
  <c r="J6" i="4" s="1"/>
  <c r="J8" i="4"/>
  <c r="X49" i="16"/>
  <c r="Z30" i="16"/>
  <c r="P12" i="4"/>
  <c r="P8" i="4" s="1"/>
  <c r="Y19" i="16"/>
  <c r="X50" i="16"/>
  <c r="M43" i="16"/>
  <c r="M40" i="16"/>
  <c r="T30" i="16"/>
  <c r="AG30" i="16" s="1"/>
  <c r="T17" i="16"/>
  <c r="AG17" i="16" s="1"/>
  <c r="Z17" i="16"/>
  <c r="Z35" i="16"/>
  <c r="M36" i="16"/>
  <c r="M34" i="16"/>
  <c r="M28" i="16"/>
  <c r="Z23" i="16"/>
  <c r="AA23" i="16" s="1"/>
  <c r="M33" i="16"/>
  <c r="M9" i="16"/>
  <c r="M16" i="16"/>
  <c r="M26" i="16"/>
  <c r="M23" i="16"/>
  <c r="M21" i="16"/>
  <c r="T45" i="16" s="1"/>
  <c r="AA45" i="16" s="1"/>
  <c r="M13" i="16"/>
  <c r="M12" i="16"/>
  <c r="Z14" i="16"/>
  <c r="Z24" i="16"/>
  <c r="Z32" i="16"/>
  <c r="Z27" i="16"/>
  <c r="Z10" i="16"/>
  <c r="Z7" i="16"/>
  <c r="M50" i="16" l="1"/>
  <c r="O14" i="4"/>
  <c r="R14" i="4" s="1"/>
  <c r="H14" i="4"/>
  <c r="K14" i="4" s="1"/>
  <c r="O8" i="4"/>
  <c r="H8" i="4"/>
  <c r="K8" i="4" s="1"/>
  <c r="AA17" i="16"/>
  <c r="AA30" i="16"/>
  <c r="Z19" i="16"/>
  <c r="Q8" i="4"/>
  <c r="P6" i="4"/>
  <c r="Q6" i="4" s="1"/>
  <c r="T35" i="16"/>
  <c r="T32" i="16"/>
  <c r="T14" i="16"/>
  <c r="AG14" i="16" s="1"/>
  <c r="T27" i="16"/>
  <c r="AG27" i="16" s="1"/>
  <c r="T24" i="16"/>
  <c r="AG24" i="16" s="1"/>
  <c r="T19" i="16"/>
  <c r="AG19" i="16" s="1"/>
  <c r="T10" i="16"/>
  <c r="AG10" i="16" s="1"/>
  <c r="T7" i="16"/>
  <c r="AG7" i="16" s="1"/>
  <c r="AA19" i="16" l="1"/>
  <c r="AA24" i="16"/>
  <c r="AA14" i="16"/>
  <c r="AA10" i="16"/>
  <c r="AA7" i="16"/>
  <c r="AA27" i="16"/>
  <c r="R8" i="4"/>
  <c r="X48" i="16"/>
  <c r="O6" i="4" l="1"/>
  <c r="R6" i="4" s="1"/>
  <c r="H6" i="4"/>
  <c r="K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Tokarski</author>
  </authors>
  <commentList>
    <comment ref="X7" authorId="0" shapeId="0" xr:uid="{096E7971-947F-419F-AACD-ABF6E375C325}">
      <text>
        <r>
          <rPr>
            <b/>
            <sz val="9"/>
            <color indexed="81"/>
            <rFont val="Tahoma"/>
            <family val="2"/>
          </rPr>
          <t>8x 2025E EBITDA (-) Net Debt</t>
        </r>
      </text>
    </comment>
    <comment ref="X10" authorId="0" shapeId="0" xr:uid="{B219B040-EC88-425A-AFB0-B4D7CE1ADBE7}">
      <text>
        <r>
          <rPr>
            <b/>
            <sz val="9"/>
            <color indexed="81"/>
            <rFont val="Tahoma"/>
            <family val="2"/>
          </rPr>
          <t>Kovi’s valuation for the merger with Moove</t>
        </r>
      </text>
    </comment>
    <comment ref="X14" authorId="0" shapeId="0" xr:uid="{561FB64E-82FD-496B-B1F1-18FD4536F5F6}">
      <text>
        <r>
          <rPr>
            <b/>
            <sz val="9"/>
            <color indexed="81"/>
            <rFont val="Tahoma"/>
            <family val="2"/>
          </rPr>
          <t>The company is in active conversations for an equity round way above</t>
        </r>
      </text>
    </comment>
    <comment ref="X17" authorId="0" shapeId="0" xr:uid="{7FEC593E-692C-46FE-AA7B-50ADC67E7612}">
      <text>
        <r>
          <rPr>
            <b/>
            <sz val="9"/>
            <color indexed="81"/>
            <rFont val="Tahoma"/>
            <family val="2"/>
          </rPr>
          <t>8x 2025E EBITDA (-) Net Debt</t>
        </r>
      </text>
    </comment>
    <comment ref="X19" authorId="0" shapeId="0" xr:uid="{0CB55C21-833F-4835-9EBF-277F06D8509F}">
      <text>
        <r>
          <rPr>
            <b/>
            <sz val="9"/>
            <color indexed="81"/>
            <rFont val="Tahoma"/>
            <family val="2"/>
          </rPr>
          <t>The company has active M&amp;A proposals at the price</t>
        </r>
      </text>
    </comment>
    <comment ref="X24" authorId="0" shapeId="0" xr:uid="{2C6D4C93-BD06-41D3-BF6D-D455438BCA07}">
      <text>
        <r>
          <rPr>
            <b/>
            <sz val="9"/>
            <color indexed="81"/>
            <rFont val="Tahoma"/>
            <family val="2"/>
          </rPr>
          <t>10x 2025E EBITDA (-) Net Debt</t>
        </r>
      </text>
    </comment>
    <comment ref="X27" authorId="0" shapeId="0" xr:uid="{83E086E0-3077-48B8-97D0-52180C5D707B}">
      <text>
        <r>
          <rPr>
            <b/>
            <sz val="9"/>
            <color indexed="81"/>
            <rFont val="Tahoma"/>
            <family val="2"/>
          </rPr>
          <t>10x 2025E EBITDA (-) Net Debt</t>
        </r>
      </text>
    </comment>
    <comment ref="X30" authorId="0" shapeId="0" xr:uid="{6823AE46-EA4D-4E23-8C09-D6C993886A8C}">
      <text>
        <r>
          <rPr>
            <b/>
            <sz val="9"/>
            <color indexed="81"/>
            <rFont val="Tahoma"/>
            <family val="2"/>
          </rPr>
          <t>Supported by third party evaluation</t>
        </r>
      </text>
    </comment>
    <comment ref="X32" authorId="0" shapeId="0" xr:uid="{A04BC478-5055-4649-A788-82D969750D83}">
      <text>
        <r>
          <rPr>
            <b/>
            <sz val="9"/>
            <color indexed="81"/>
            <rFont val="Tahoma"/>
            <family val="2"/>
          </rPr>
          <t>Recent investment - valued at cost</t>
        </r>
      </text>
    </comment>
    <comment ref="X35" authorId="0" shapeId="0" xr:uid="{785F8325-8A5D-420D-BE73-1D36878E6C87}">
      <text>
        <r>
          <rPr>
            <b/>
            <sz val="9"/>
            <color indexed="81"/>
            <rFont val="Tahoma"/>
            <family val="2"/>
          </rPr>
          <t>Recent investment - valued at cost</t>
        </r>
      </text>
    </comment>
  </commentList>
</comments>
</file>

<file path=xl/sharedStrings.xml><?xml version="1.0" encoding="utf-8"?>
<sst xmlns="http://schemas.openxmlformats.org/spreadsheetml/2006/main" count="227" uniqueCount="121">
  <si>
    <t>Date</t>
  </si>
  <si>
    <t>IRR
(%)</t>
  </si>
  <si>
    <t>Kovi 1</t>
  </si>
  <si>
    <t>Kovi 2</t>
  </si>
  <si>
    <t>The Coffee 1</t>
  </si>
  <si>
    <t>Skelt</t>
  </si>
  <si>
    <t>The Coffee 2</t>
  </si>
  <si>
    <t>Skelt 2</t>
  </si>
  <si>
    <t>In USD</t>
  </si>
  <si>
    <t>Skelt 1</t>
  </si>
  <si>
    <t>Paketá 1</t>
  </si>
  <si>
    <t>Paketá 2</t>
  </si>
  <si>
    <t xml:space="preserve">Complete Portfolio View </t>
  </si>
  <si>
    <t>Format</t>
  </si>
  <si>
    <t>Black</t>
  </si>
  <si>
    <t>Blue</t>
  </si>
  <si>
    <t>Green</t>
  </si>
  <si>
    <t>Inputs</t>
  </si>
  <si>
    <t>Formulas</t>
  </si>
  <si>
    <t>References from other worksheets</t>
  </si>
  <si>
    <t>Sheet Number</t>
  </si>
  <si>
    <t>Link to Sheet</t>
  </si>
  <si>
    <t>Consolidated</t>
  </si>
  <si>
    <t>Bluefit</t>
  </si>
  <si>
    <t>The Coffee</t>
  </si>
  <si>
    <t>Atlas Agro</t>
  </si>
  <si>
    <t>Paketá</t>
  </si>
  <si>
    <t>IRR</t>
  </si>
  <si>
    <t>in BRL</t>
  </si>
  <si>
    <t>Cluster</t>
  </si>
  <si>
    <t>Vintage</t>
  </si>
  <si>
    <t>Current ownership</t>
  </si>
  <si>
    <t>Revenue CAGR since investment</t>
  </si>
  <si>
    <t>Gross Revenue 2025E</t>
  </si>
  <si>
    <t>EBITDA 2025E</t>
  </si>
  <si>
    <t>Vintage I</t>
  </si>
  <si>
    <t>MOIC</t>
  </si>
  <si>
    <t>R$</t>
  </si>
  <si>
    <t>USD</t>
  </si>
  <si>
    <t>Vintage II</t>
  </si>
  <si>
    <t>TerraMagna 1</t>
  </si>
  <si>
    <t>Regera</t>
  </si>
  <si>
    <t>TerraMagna 2</t>
  </si>
  <si>
    <t>Acquion 2</t>
  </si>
  <si>
    <t>Zerezes</t>
  </si>
  <si>
    <t>Acquion</t>
  </si>
  <si>
    <t>Allocated</t>
  </si>
  <si>
    <t>Average Holding Period</t>
  </si>
  <si>
    <t>Investment Size</t>
  </si>
  <si>
    <t>Shift Alpha I</t>
  </si>
  <si>
    <t>AuM at Market</t>
  </si>
  <si>
    <t>Unitary Duration  (vintage)</t>
  </si>
  <si>
    <t>Unitary Duration  (total)</t>
  </si>
  <si>
    <t>TerraMagna</t>
  </si>
  <si>
    <t>Category</t>
  </si>
  <si>
    <t>FX Rate (USD/BRL)</t>
  </si>
  <si>
    <t>Additional Allocantions</t>
  </si>
  <si>
    <t>Co-invest</t>
  </si>
  <si>
    <t>Alpha I's costs reserve</t>
  </si>
  <si>
    <t>At cost</t>
  </si>
  <si>
    <t>Portfolio average holding period</t>
  </si>
  <si>
    <t>Alpha I average holding period</t>
  </si>
  <si>
    <t>Alpha I allocation</t>
  </si>
  <si>
    <t>Vintage I average holding period</t>
  </si>
  <si>
    <t>Vintage II average holding period</t>
  </si>
  <si>
    <t>At market</t>
  </si>
  <si>
    <t>Bluefit 1</t>
  </si>
  <si>
    <t>Bluefit 2</t>
  </si>
  <si>
    <t>Kovi 3</t>
  </si>
  <si>
    <t>Skelt 3</t>
  </si>
  <si>
    <t>Skelt 4</t>
  </si>
  <si>
    <t>Regera 1</t>
  </si>
  <si>
    <t>Regera 2</t>
  </si>
  <si>
    <t>Acquion 1</t>
  </si>
  <si>
    <t>Exposure</t>
  </si>
  <si>
    <t>Estimated current equity value</t>
  </si>
  <si>
    <t>Holding period 
(years)</t>
  </si>
  <si>
    <t>MOIC
(x)</t>
  </si>
  <si>
    <t>Year</t>
  </si>
  <si>
    <t>Distributed Capital</t>
  </si>
  <si>
    <t>Detailed</t>
  </si>
  <si>
    <t>Total</t>
  </si>
  <si>
    <t>FX on investment</t>
  </si>
  <si>
    <t>Factset Price History: USDBRL</t>
  </si>
  <si>
    <t>Mid</t>
  </si>
  <si>
    <t>Change</t>
  </si>
  <si>
    <t>% Change</t>
  </si>
  <si>
    <t>Cumulative Change %</t>
  </si>
  <si>
    <t>High</t>
  </si>
  <si>
    <t>Low</t>
  </si>
  <si>
    <t>Alpha I's 5th deal</t>
  </si>
  <si>
    <t>Investment Details</t>
  </si>
  <si>
    <t>Operational Performance</t>
  </si>
  <si>
    <t>Holding Period</t>
  </si>
  <si>
    <t>Returns in R$</t>
  </si>
  <si>
    <t>Returns in US$</t>
  </si>
  <si>
    <t>Alpha's 5th deal</t>
  </si>
  <si>
    <t>Alpha I's 6th deal</t>
  </si>
  <si>
    <t>Club Deals &amp; Propr. Invests.</t>
  </si>
  <si>
    <t>Currency</t>
  </si>
  <si>
    <t>Allocated
(US$ m)</t>
  </si>
  <si>
    <t>Market Value
(US$ m)</t>
  </si>
  <si>
    <t>Market Value
(R$ m)</t>
  </si>
  <si>
    <t>Allocated
(R$ m)</t>
  </si>
  <si>
    <t>Allocated at Cost</t>
  </si>
  <si>
    <t>AuM at cost
(R$ m)</t>
  </si>
  <si>
    <t>AuM at cost
(US$ m)</t>
  </si>
  <si>
    <t>Support - FX Rate</t>
  </si>
  <si>
    <t>Kovi / Moove</t>
  </si>
  <si>
    <t>**The company has active M&amp;A proposals at the price</t>
  </si>
  <si>
    <t>***Recent investment - valued at cost</t>
  </si>
  <si>
    <t>****Suppported by third party evaluation</t>
  </si>
  <si>
    <t>N/A***</t>
  </si>
  <si>
    <t>Notes:</t>
  </si>
  <si>
    <t>Atlas Agro*</t>
  </si>
  <si>
    <t>*Already exited position, at cost</t>
  </si>
  <si>
    <t>*In 2025, Kovi went through a merger with Moove in a share swap transaction. 
The financials and ownership reflect Kovi standing-alone and Kovi’s valuation is the valuation of the transaction.
Post-merger, Shift owns 0.3684% of the combined company</t>
  </si>
  <si>
    <t>Multiplo EBITDA</t>
  </si>
  <si>
    <t>Multiplo Receita</t>
  </si>
  <si>
    <t>NAV Relatri</t>
  </si>
  <si>
    <t>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</si>
</sst>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0.0\x"/>
    <numFmt numFmtId="168" formatCode="#,##0.0"/>
    <numFmt numFmtId="169" formatCode="#,##0.0000000"/>
    <numFmt numFmtId="170" formatCode="[$-416]mmm\-yy;@"/>
    <numFmt numFmtId="171" formatCode="#,##0.0_);\(#,##0.0\);&quot;-&quot;\ "/>
    <numFmt numFmtId="172" formatCode="0%;\(0%\);&quot;-&quot;"/>
    <numFmt numFmtId="173" formatCode="&quot;R$&quot;\ #,##0_);&quot;R$&quot;\ \(#,##0\);&quot;-&quot;\ "/>
    <numFmt numFmtId="174" formatCode="0.0%;\(0.0%\);&quot;-&quot;"/>
    <numFmt numFmtId="175" formatCode="#,##0_);\(#,##0\);&quot;-&quot;\ "/>
    <numFmt numFmtId="176" formatCode="#,##0;\(#,##0\)"/>
    <numFmt numFmtId="177" formatCode="#,##0.0;\(#,##0.0\)"/>
    <numFmt numFmtId="178" formatCode="#,##0.0\x_);\(#,##0.0\x\);\─_);@_)"/>
    <numFmt numFmtId="179" formatCode="#,##0.000000"/>
    <numFmt numFmtId="180" formatCode="[$-409]mmm\-yy;@"/>
    <numFmt numFmtId="181" formatCode="0.0"/>
    <numFmt numFmtId="182" formatCode="#,##0.0\x_);\(#,##0.0\x\);\-_);@_)"/>
    <numFmt numFmtId="183" formatCode="#,##0.0\);\(#,##0.0\);&quot;-&quot;\ "/>
    <numFmt numFmtId="184" formatCode="&quot;R$&quot;#,##0&quot;m&quot;;\(&quot;R$&quot;#,##0&quot;m&quot;\)"/>
    <numFmt numFmtId="185" formatCode="#,##0.0&quot;m&quot;;\(#,##0.0&quot;m&quot;\)"/>
    <numFmt numFmtId="186" formatCode="&quot;R$&quot;#,##0.0&quot;m&quot;;\(&quot;R$&quot;#,##0.0&quot;m&quot;\)"/>
    <numFmt numFmtId="187" formatCode="&quot;US$&quot;#,##0.0&quot;m&quot;;\(&quot;US$&quot;#,##0.0&quot;m&quot;\)"/>
    <numFmt numFmtId="188" formatCode="#,##0.0&quot;years&quot;;\(#,##0.0&quot;years&quot;\)"/>
    <numFmt numFmtId="189" formatCode="#,##0.0;\(#,##0.0\);&quot;-&quot;\ "/>
    <numFmt numFmtId="190" formatCode="&quot;R$&quot;#,##0&quot;m*&quot;;\(&quot;R$&quot;#,##0&quot;m&quot;\)"/>
    <numFmt numFmtId="191" formatCode="&quot;R$&quot;#,##0&quot;m**&quot;;\(&quot;R$&quot;#,##0&quot;m&quot;\)"/>
    <numFmt numFmtId="192" formatCode="&quot;R$&quot;#,##0&quot;m***&quot;;\(&quot;R$&quot;#,##0&quot;m&quot;\)"/>
    <numFmt numFmtId="193" formatCode="&quot;R$&quot;#,##0&quot;m****&quot;;\(&quot;R$&quot;#,##0&quot;m&quot;\)"/>
    <numFmt numFmtId="194" formatCode="0%&quot;*&quot;"/>
    <numFmt numFmtId="195" formatCode="#,##0.0\x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182FA4"/>
      <name val="Calibri"/>
      <family val="2"/>
      <scheme val="minor"/>
    </font>
    <font>
      <b/>
      <sz val="11"/>
      <color rgb="FF182FA4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2973BD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lightUp">
        <fgColor theme="0" tint="-0.24994659260841701"/>
        <bgColor indexed="65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Up">
        <fgColor theme="0" tint="-0.24994659260841701"/>
        <bgColor theme="9" tint="0.79998168889431442"/>
      </patternFill>
    </fill>
  </fills>
  <borders count="18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</cellStyleXfs>
  <cellXfs count="2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Continuous" vertical="center"/>
    </xf>
    <xf numFmtId="0" fontId="0" fillId="0" borderId="0" xfId="0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7" fillId="0" borderId="0" xfId="3" applyAlignment="1">
      <alignment horizontal="left"/>
    </xf>
    <xf numFmtId="0" fontId="0" fillId="0" borderId="5" xfId="0" applyBorder="1"/>
    <xf numFmtId="0" fontId="13" fillId="0" borderId="0" xfId="0" applyFont="1"/>
    <xf numFmtId="0" fontId="14" fillId="0" borderId="0" xfId="0" applyFont="1" applyAlignment="1">
      <alignment horizontal="left"/>
    </xf>
    <xf numFmtId="0" fontId="14" fillId="0" borderId="0" xfId="0" applyFont="1"/>
    <xf numFmtId="167" fontId="3" fillId="0" borderId="0" xfId="0" applyNumberFormat="1" applyFont="1" applyAlignment="1">
      <alignment horizontal="center" vertical="center" wrapText="1" readingOrder="1"/>
    </xf>
    <xf numFmtId="0" fontId="9" fillId="0" borderId="0" xfId="0" applyFont="1" applyAlignment="1">
      <alignment horizontal="left" vertical="center"/>
    </xf>
    <xf numFmtId="3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4" fontId="11" fillId="0" borderId="0" xfId="1" applyNumberFormat="1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9" fontId="0" fillId="0" borderId="0" xfId="2" applyFont="1" applyAlignment="1">
      <alignment horizontal="right" vertical="center"/>
    </xf>
    <xf numFmtId="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2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/>
    <xf numFmtId="4" fontId="9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1" fontId="2" fillId="0" borderId="0" xfId="0" applyNumberFormat="1" applyFont="1"/>
    <xf numFmtId="174" fontId="5" fillId="0" borderId="0" xfId="0" applyNumberFormat="1" applyFont="1" applyAlignment="1">
      <alignment horizontal="left" vertical="center"/>
    </xf>
    <xf numFmtId="177" fontId="15" fillId="0" borderId="0" xfId="4" applyNumberFormat="1" applyFont="1" applyAlignment="1">
      <alignment horizontal="center"/>
    </xf>
    <xf numFmtId="171" fontId="0" fillId="0" borderId="0" xfId="0" applyNumberFormat="1"/>
    <xf numFmtId="14" fontId="15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1" fontId="16" fillId="0" borderId="0" xfId="0" applyNumberFormat="1" applyFont="1" applyAlignment="1">
      <alignment horizontal="center"/>
    </xf>
    <xf numFmtId="171" fontId="11" fillId="0" borderId="0" xfId="4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8" fontId="19" fillId="5" borderId="0" xfId="0" applyNumberFormat="1" applyFont="1" applyFill="1" applyAlignment="1">
      <alignment horizontal="center"/>
    </xf>
    <xf numFmtId="171" fontId="6" fillId="0" borderId="0" xfId="0" applyNumberFormat="1" applyFont="1" applyAlignment="1">
      <alignment horizontal="center" vertical="center"/>
    </xf>
    <xf numFmtId="9" fontId="15" fillId="0" borderId="0" xfId="2" applyFont="1" applyAlignment="1">
      <alignment horizontal="center" vertical="center"/>
    </xf>
    <xf numFmtId="175" fontId="15" fillId="0" borderId="0" xfId="0" applyNumberFormat="1" applyFont="1" applyAlignment="1">
      <alignment horizontal="center" vertical="center"/>
    </xf>
    <xf numFmtId="174" fontId="6" fillId="0" borderId="0" xfId="2" applyNumberFormat="1" applyFont="1" applyFill="1" applyBorder="1" applyAlignment="1">
      <alignment horizontal="center" vertical="center"/>
    </xf>
    <xf numFmtId="174" fontId="6" fillId="0" borderId="0" xfId="0" applyNumberFormat="1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3" fontId="17" fillId="0" borderId="0" xfId="0" applyNumberFormat="1" applyFont="1" applyAlignment="1">
      <alignment horizontal="center" vertical="center"/>
    </xf>
    <xf numFmtId="174" fontId="5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5" fontId="6" fillId="0" borderId="0" xfId="0" applyNumberFormat="1" applyFont="1" applyAlignment="1">
      <alignment horizontal="center" vertical="center"/>
    </xf>
    <xf numFmtId="174" fontId="6" fillId="0" borderId="0" xfId="0" applyNumberFormat="1" applyFont="1" applyAlignment="1">
      <alignment horizontal="center" vertical="center"/>
    </xf>
    <xf numFmtId="175" fontId="6" fillId="0" borderId="0" xfId="0" applyNumberFormat="1" applyFont="1" applyAlignment="1">
      <alignment horizontal="center"/>
    </xf>
    <xf numFmtId="174" fontId="15" fillId="0" borderId="0" xfId="2" applyNumberFormat="1" applyFont="1" applyBorder="1" applyAlignment="1">
      <alignment horizontal="center" vertical="center" wrapText="1" readingOrder="1"/>
    </xf>
    <xf numFmtId="174" fontId="15" fillId="0" borderId="0" xfId="2" applyNumberFormat="1" applyFont="1" applyFill="1" applyBorder="1" applyAlignment="1">
      <alignment horizontal="center" vertical="center" wrapText="1" readingOrder="1"/>
    </xf>
    <xf numFmtId="176" fontId="15" fillId="0" borderId="0" xfId="0" applyNumberFormat="1" applyFont="1" applyAlignment="1">
      <alignment horizontal="center"/>
    </xf>
    <xf numFmtId="174" fontId="15" fillId="0" borderId="0" xfId="0" applyNumberFormat="1" applyFont="1" applyAlignment="1">
      <alignment horizontal="center" vertical="center"/>
    </xf>
    <xf numFmtId="172" fontId="15" fillId="0" borderId="0" xfId="0" applyNumberFormat="1" applyFont="1" applyAlignment="1">
      <alignment horizontal="center" vertical="center"/>
    </xf>
    <xf numFmtId="174" fontId="5" fillId="0" borderId="0" xfId="0" applyNumberFormat="1" applyFont="1" applyAlignment="1">
      <alignment horizontal="center" vertical="center"/>
    </xf>
    <xf numFmtId="173" fontId="15" fillId="0" borderId="0" xfId="0" applyNumberFormat="1" applyFont="1" applyAlignment="1">
      <alignment horizontal="center" vertical="center"/>
    </xf>
    <xf numFmtId="171" fontId="2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9" fontId="2" fillId="0" borderId="0" xfId="2" applyFont="1" applyAlignment="1">
      <alignment horizontal="center"/>
    </xf>
    <xf numFmtId="174" fontId="15" fillId="0" borderId="0" xfId="2" applyNumberFormat="1" applyFont="1" applyFill="1" applyBorder="1" applyAlignment="1">
      <alignment horizontal="center" vertical="center"/>
    </xf>
    <xf numFmtId="171" fontId="4" fillId="4" borderId="0" xfId="0" applyNumberFormat="1" applyFont="1" applyFill="1" applyAlignment="1">
      <alignment horizontal="center"/>
    </xf>
    <xf numFmtId="174" fontId="4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172" fontId="0" fillId="0" borderId="0" xfId="2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left" vertical="center"/>
    </xf>
    <xf numFmtId="172" fontId="2" fillId="0" borderId="0" xfId="2" applyNumberFormat="1" applyFont="1" applyAlignment="1">
      <alignment horizontal="center" vertical="center"/>
    </xf>
    <xf numFmtId="178" fontId="3" fillId="5" borderId="0" xfId="0" applyNumberFormat="1" applyFont="1" applyFill="1" applyAlignment="1">
      <alignment horizontal="center"/>
    </xf>
    <xf numFmtId="174" fontId="3" fillId="5" borderId="0" xfId="0" applyNumberFormat="1" applyFont="1" applyFill="1" applyAlignment="1">
      <alignment horizontal="center"/>
    </xf>
    <xf numFmtId="0" fontId="21" fillId="0" borderId="0" xfId="5" applyFont="1"/>
    <xf numFmtId="0" fontId="20" fillId="0" borderId="0" xfId="5"/>
    <xf numFmtId="180" fontId="20" fillId="0" borderId="0" xfId="5" applyNumberFormat="1" applyAlignment="1">
      <alignment horizontal="center"/>
    </xf>
    <xf numFmtId="180" fontId="20" fillId="7" borderId="0" xfId="5" applyNumberFormat="1" applyFill="1" applyAlignment="1">
      <alignment horizontal="center"/>
    </xf>
    <xf numFmtId="0" fontId="21" fillId="6" borderId="0" xfId="5" applyFont="1" applyFill="1" applyAlignment="1">
      <alignment horizontal="center"/>
    </xf>
    <xf numFmtId="179" fontId="20" fillId="0" borderId="0" xfId="5" applyNumberFormat="1" applyAlignment="1">
      <alignment horizontal="center"/>
    </xf>
    <xf numFmtId="4" fontId="20" fillId="0" borderId="0" xfId="5" applyNumberFormat="1" applyAlignment="1">
      <alignment horizontal="center"/>
    </xf>
    <xf numFmtId="179" fontId="20" fillId="7" borderId="0" xfId="5" applyNumberFormat="1" applyFill="1" applyAlignment="1">
      <alignment horizontal="center"/>
    </xf>
    <xf numFmtId="4" fontId="20" fillId="7" borderId="0" xfId="5" applyNumberFormat="1" applyFill="1" applyAlignment="1">
      <alignment horizontal="center"/>
    </xf>
    <xf numFmtId="182" fontId="3" fillId="5" borderId="0" xfId="0" applyNumberFormat="1" applyFont="1" applyFill="1" applyAlignment="1">
      <alignment horizontal="center"/>
    </xf>
    <xf numFmtId="183" fontId="0" fillId="0" borderId="0" xfId="0" applyNumberFormat="1" applyAlignment="1">
      <alignment horizontal="center"/>
    </xf>
    <xf numFmtId="181" fontId="15" fillId="0" borderId="0" xfId="0" applyNumberFormat="1" applyFont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5" fontId="19" fillId="5" borderId="0" xfId="0" applyNumberFormat="1" applyFont="1" applyFill="1" applyAlignment="1">
      <alignment horizontal="center"/>
    </xf>
    <xf numFmtId="185" fontId="16" fillId="0" borderId="0" xfId="0" applyNumberFormat="1" applyFont="1" applyAlignment="1">
      <alignment horizontal="center"/>
    </xf>
    <xf numFmtId="186" fontId="2" fillId="0" borderId="0" xfId="0" applyNumberFormat="1" applyFont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186" fontId="6" fillId="0" borderId="0" xfId="0" applyNumberFormat="1" applyFon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6" fontId="19" fillId="5" borderId="0" xfId="0" applyNumberFormat="1" applyFont="1" applyFill="1" applyAlignment="1">
      <alignment horizontal="center"/>
    </xf>
    <xf numFmtId="186" fontId="3" fillId="5" borderId="0" xfId="0" applyNumberFormat="1" applyFont="1" applyFill="1" applyAlignment="1">
      <alignment horizontal="center"/>
    </xf>
    <xf numFmtId="182" fontId="2" fillId="0" borderId="0" xfId="0" applyNumberFormat="1" applyFont="1" applyAlignment="1">
      <alignment horizontal="center" vertical="center"/>
    </xf>
    <xf numFmtId="182" fontId="0" fillId="0" borderId="0" xfId="0" applyNumberFormat="1" applyAlignment="1">
      <alignment horizontal="center" vertical="center"/>
    </xf>
    <xf numFmtId="182" fontId="6" fillId="0" borderId="0" xfId="0" applyNumberFormat="1" applyFont="1" applyAlignment="1">
      <alignment horizontal="center" vertical="center"/>
    </xf>
    <xf numFmtId="187" fontId="2" fillId="0" borderId="0" xfId="0" applyNumberFormat="1" applyFont="1" applyAlignment="1">
      <alignment horizontal="center" vertical="center"/>
    </xf>
    <xf numFmtId="187" fontId="6" fillId="0" borderId="0" xfId="0" applyNumberFormat="1" applyFont="1" applyAlignment="1">
      <alignment horizontal="center" vertical="center"/>
    </xf>
    <xf numFmtId="187" fontId="3" fillId="5" borderId="0" xfId="0" applyNumberFormat="1" applyFont="1" applyFill="1" applyAlignment="1">
      <alignment horizontal="center"/>
    </xf>
    <xf numFmtId="187" fontId="0" fillId="0" borderId="0" xfId="0" applyNumberFormat="1"/>
    <xf numFmtId="188" fontId="6" fillId="0" borderId="0" xfId="0" applyNumberFormat="1" applyFont="1" applyAlignment="1">
      <alignment horizontal="center" vertical="center"/>
    </xf>
    <xf numFmtId="188" fontId="19" fillId="5" borderId="0" xfId="0" applyNumberFormat="1" applyFont="1" applyFill="1" applyAlignment="1">
      <alignment horizontal="center"/>
    </xf>
    <xf numFmtId="188" fontId="0" fillId="0" borderId="0" xfId="0" applyNumberFormat="1" applyAlignment="1">
      <alignment horizontal="center" vertical="center"/>
    </xf>
    <xf numFmtId="188" fontId="3" fillId="5" borderId="0" xfId="0" applyNumberFormat="1" applyFont="1" applyFill="1" applyAlignment="1">
      <alignment horizontal="center"/>
    </xf>
    <xf numFmtId="186" fontId="15" fillId="0" borderId="0" xfId="4" applyNumberFormat="1" applyFont="1" applyAlignment="1">
      <alignment horizontal="center"/>
    </xf>
    <xf numFmtId="171" fontId="4" fillId="8" borderId="0" xfId="0" applyNumberFormat="1" applyFont="1" applyFill="1"/>
    <xf numFmtId="171" fontId="4" fillId="8" borderId="0" xfId="0" applyNumberFormat="1" applyFont="1" applyFill="1" applyAlignment="1">
      <alignment horizontal="center"/>
    </xf>
    <xf numFmtId="0" fontId="22" fillId="0" borderId="0" xfId="0" applyFont="1"/>
    <xf numFmtId="171" fontId="15" fillId="0" borderId="0" xfId="4" applyNumberFormat="1" applyFont="1" applyAlignment="1">
      <alignment horizontal="center" vertical="center"/>
    </xf>
    <xf numFmtId="0" fontId="2" fillId="9" borderId="0" xfId="0" applyFont="1" applyFill="1" applyAlignment="1">
      <alignment horizontal="centerContinuous" vertical="center"/>
    </xf>
    <xf numFmtId="0" fontId="0" fillId="0" borderId="6" xfId="0" applyBorder="1" applyAlignment="1">
      <alignment horizontal="left"/>
    </xf>
    <xf numFmtId="0" fontId="2" fillId="0" borderId="7" xfId="0" applyFont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/>
    </xf>
    <xf numFmtId="171" fontId="2" fillId="0" borderId="8" xfId="0" applyNumberFormat="1" applyFont="1" applyBorder="1" applyAlignment="1">
      <alignment horizontal="center" vertical="center"/>
    </xf>
    <xf numFmtId="171" fontId="2" fillId="0" borderId="10" xfId="0" applyNumberFormat="1" applyFont="1" applyBorder="1" applyAlignment="1">
      <alignment horizontal="center" vertical="center"/>
    </xf>
    <xf numFmtId="9" fontId="2" fillId="0" borderId="13" xfId="2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189" fontId="2" fillId="0" borderId="0" xfId="0" applyNumberFormat="1" applyFont="1" applyAlignment="1">
      <alignment horizontal="center" vertical="center" wrapText="1"/>
    </xf>
    <xf numFmtId="189" fontId="19" fillId="5" borderId="0" xfId="0" applyNumberFormat="1" applyFont="1" applyFill="1" applyAlignment="1">
      <alignment horizontal="center"/>
    </xf>
    <xf numFmtId="189" fontId="11" fillId="0" borderId="0" xfId="0" applyNumberFormat="1" applyFont="1" applyAlignment="1">
      <alignment horizontal="center" vertical="center"/>
    </xf>
    <xf numFmtId="189" fontId="0" fillId="0" borderId="0" xfId="0" applyNumberFormat="1" applyAlignment="1">
      <alignment horizontal="center" vertical="center"/>
    </xf>
    <xf numFmtId="189" fontId="3" fillId="0" borderId="0" xfId="0" applyNumberFormat="1" applyFont="1" applyAlignment="1">
      <alignment horizontal="center" vertical="center" wrapText="1" readingOrder="1"/>
    </xf>
    <xf numFmtId="0" fontId="2" fillId="0" borderId="2" xfId="0" applyFont="1" applyBorder="1" applyAlignment="1">
      <alignment horizontal="left" vertical="center"/>
    </xf>
    <xf numFmtId="0" fontId="18" fillId="0" borderId="14" xfId="0" applyFont="1" applyBorder="1" applyAlignment="1">
      <alignment horizontal="center"/>
    </xf>
    <xf numFmtId="189" fontId="1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15" xfId="0" applyFont="1" applyFill="1" applyBorder="1" applyAlignment="1">
      <alignment horizontal="left" vertical="center"/>
    </xf>
    <xf numFmtId="0" fontId="10" fillId="3" borderId="16" xfId="0" applyFont="1" applyFill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189" fontId="2" fillId="3" borderId="16" xfId="0" applyNumberFormat="1" applyFont="1" applyFill="1" applyBorder="1" applyAlignment="1">
      <alignment horizontal="center" vertical="center" wrapText="1"/>
    </xf>
    <xf numFmtId="189" fontId="12" fillId="3" borderId="16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174" fontId="2" fillId="3" borderId="16" xfId="2" applyNumberFormat="1" applyFont="1" applyFill="1" applyBorder="1" applyAlignment="1">
      <alignment horizontal="center" vertical="center"/>
    </xf>
    <xf numFmtId="174" fontId="2" fillId="0" borderId="0" xfId="0" applyNumberFormat="1" applyFont="1" applyAlignment="1">
      <alignment horizontal="center" vertical="center" wrapText="1"/>
    </xf>
    <xf numFmtId="174" fontId="2" fillId="3" borderId="0" xfId="2" applyNumberFormat="1" applyFont="1" applyFill="1" applyAlignment="1">
      <alignment horizontal="center" vertical="center"/>
    </xf>
    <xf numFmtId="174" fontId="19" fillId="5" borderId="0" xfId="0" applyNumberFormat="1" applyFont="1" applyFill="1" applyAlignment="1">
      <alignment horizontal="center"/>
    </xf>
    <xf numFmtId="174" fontId="0" fillId="0" borderId="0" xfId="0" applyNumberFormat="1" applyAlignment="1">
      <alignment horizontal="center" vertical="center"/>
    </xf>
    <xf numFmtId="174" fontId="2" fillId="3" borderId="17" xfId="2" applyNumberFormat="1" applyFont="1" applyFill="1" applyBorder="1" applyAlignment="1">
      <alignment horizontal="center" vertical="center"/>
    </xf>
    <xf numFmtId="174" fontId="0" fillId="0" borderId="0" xfId="2" applyNumberFormat="1" applyFont="1" applyFill="1" applyAlignment="1">
      <alignment horizontal="center" vertical="center"/>
    </xf>
    <xf numFmtId="187" fontId="5" fillId="0" borderId="0" xfId="0" applyNumberFormat="1" applyFont="1" applyAlignment="1">
      <alignment horizontal="center" vertical="center"/>
    </xf>
    <xf numFmtId="184" fontId="18" fillId="0" borderId="0" xfId="0" applyNumberFormat="1" applyFont="1" applyAlignment="1">
      <alignment horizontal="center" vertical="center"/>
    </xf>
    <xf numFmtId="190" fontId="18" fillId="0" borderId="0" xfId="0" applyNumberFormat="1" applyFont="1" applyAlignment="1">
      <alignment horizontal="center" vertical="center"/>
    </xf>
    <xf numFmtId="191" fontId="18" fillId="0" borderId="0" xfId="0" applyNumberFormat="1" applyFont="1" applyAlignment="1">
      <alignment horizontal="center" vertical="center"/>
    </xf>
    <xf numFmtId="192" fontId="18" fillId="0" borderId="0" xfId="0" applyNumberFormat="1" applyFont="1" applyAlignment="1">
      <alignment horizontal="center" vertical="center"/>
    </xf>
    <xf numFmtId="193" fontId="18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Continuous" vertical="center"/>
    </xf>
    <xf numFmtId="9" fontId="4" fillId="4" borderId="0" xfId="2" applyFont="1" applyFill="1" applyAlignment="1">
      <alignment horizontal="centerContinuous" vertical="center"/>
    </xf>
    <xf numFmtId="194" fontId="15" fillId="0" borderId="0" xfId="2" applyNumberFormat="1" applyFont="1" applyAlignment="1">
      <alignment horizontal="center" vertical="center"/>
    </xf>
    <xf numFmtId="0" fontId="23" fillId="0" borderId="0" xfId="0" applyFont="1"/>
    <xf numFmtId="184" fontId="15" fillId="0" borderId="0" xfId="0" applyNumberFormat="1" applyFont="1" applyAlignment="1">
      <alignment horizontal="center" vertical="center"/>
    </xf>
    <xf numFmtId="184" fontId="19" fillId="5" borderId="0" xfId="0" applyNumberFormat="1" applyFont="1" applyFill="1" applyAlignment="1">
      <alignment horizontal="center"/>
    </xf>
    <xf numFmtId="186" fontId="0" fillId="0" borderId="0" xfId="0" applyNumberFormat="1" applyAlignment="1">
      <alignment horizontal="center"/>
    </xf>
    <xf numFmtId="4" fontId="0" fillId="0" borderId="0" xfId="0" applyNumberFormat="1"/>
    <xf numFmtId="195" fontId="0" fillId="0" borderId="0" xfId="0" applyNumberFormat="1" applyAlignment="1">
      <alignment horizontal="center"/>
    </xf>
    <xf numFmtId="0" fontId="0" fillId="10" borderId="0" xfId="0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170" fontId="15" fillId="10" borderId="0" xfId="0" applyNumberFormat="1" applyFont="1" applyFill="1" applyAlignment="1">
      <alignment horizontal="center"/>
    </xf>
    <xf numFmtId="49" fontId="15" fillId="10" borderId="0" xfId="0" applyNumberFormat="1" applyFont="1" applyFill="1" applyAlignment="1">
      <alignment horizontal="center"/>
    </xf>
    <xf numFmtId="170" fontId="15" fillId="10" borderId="0" xfId="0" applyNumberFormat="1" applyFont="1" applyFill="1" applyAlignment="1">
      <alignment horizontal="center" vertical="center"/>
    </xf>
    <xf numFmtId="176" fontId="15" fillId="10" borderId="0" xfId="0" applyNumberFormat="1" applyFont="1" applyFill="1" applyAlignment="1">
      <alignment horizontal="center"/>
    </xf>
    <xf numFmtId="181" fontId="15" fillId="10" borderId="0" xfId="0" applyNumberFormat="1" applyFont="1" applyFill="1" applyAlignment="1">
      <alignment horizontal="center" vertical="center"/>
    </xf>
    <xf numFmtId="185" fontId="16" fillId="10" borderId="0" xfId="0" applyNumberFormat="1" applyFont="1" applyFill="1" applyAlignment="1">
      <alignment horizontal="center"/>
    </xf>
    <xf numFmtId="186" fontId="0" fillId="10" borderId="0" xfId="0" applyNumberFormat="1" applyFill="1" applyAlignment="1">
      <alignment horizontal="center" vertical="center"/>
    </xf>
    <xf numFmtId="9" fontId="15" fillId="10" borderId="0" xfId="2" applyFont="1" applyFill="1" applyAlignment="1">
      <alignment horizontal="center" vertical="center"/>
    </xf>
    <xf numFmtId="173" fontId="17" fillId="10" borderId="0" xfId="0" applyNumberFormat="1" applyFont="1" applyFill="1" applyAlignment="1">
      <alignment horizontal="center" vertical="center"/>
    </xf>
    <xf numFmtId="178" fontId="19" fillId="11" borderId="0" xfId="0" applyNumberFormat="1" applyFont="1" applyFill="1" applyAlignment="1">
      <alignment horizontal="center"/>
    </xf>
    <xf numFmtId="184" fontId="19" fillId="11" borderId="0" xfId="0" applyNumberFormat="1" applyFont="1" applyFill="1" applyAlignment="1">
      <alignment horizontal="center"/>
    </xf>
    <xf numFmtId="174" fontId="15" fillId="10" borderId="0" xfId="0" applyNumberFormat="1" applyFont="1" applyFill="1" applyAlignment="1">
      <alignment horizontal="center" vertical="center"/>
    </xf>
    <xf numFmtId="174" fontId="5" fillId="10" borderId="0" xfId="0" applyNumberFormat="1" applyFont="1" applyFill="1" applyAlignment="1">
      <alignment horizontal="center"/>
    </xf>
    <xf numFmtId="188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/>
    </xf>
    <xf numFmtId="184" fontId="0" fillId="10" borderId="0" xfId="0" applyNumberFormat="1" applyFill="1" applyAlignment="1">
      <alignment horizontal="center" vertical="center"/>
    </xf>
    <xf numFmtId="182" fontId="0" fillId="10" borderId="0" xfId="0" applyNumberFormat="1" applyFill="1" applyAlignment="1">
      <alignment horizontal="center" vertical="center"/>
    </xf>
    <xf numFmtId="172" fontId="0" fillId="10" borderId="0" xfId="2" applyNumberFormat="1" applyFont="1" applyFill="1" applyAlignment="1">
      <alignment horizontal="center" vertical="center"/>
    </xf>
    <xf numFmtId="0" fontId="0" fillId="10" borderId="0" xfId="0" applyFill="1"/>
    <xf numFmtId="187" fontId="0" fillId="10" borderId="0" xfId="0" applyNumberFormat="1" applyFill="1" applyAlignment="1">
      <alignment horizontal="center" vertical="center"/>
    </xf>
    <xf numFmtId="187" fontId="5" fillId="10" borderId="0" xfId="0" applyNumberFormat="1" applyFont="1" applyFill="1" applyAlignment="1">
      <alignment horizontal="center" vertical="center"/>
    </xf>
    <xf numFmtId="195" fontId="0" fillId="10" borderId="0" xfId="0" applyNumberFormat="1" applyFill="1" applyAlignment="1">
      <alignment horizontal="center"/>
    </xf>
    <xf numFmtId="178" fontId="19" fillId="10" borderId="0" xfId="0" applyNumberFormat="1" applyFont="1" applyFill="1" applyAlignment="1">
      <alignment horizontal="center"/>
    </xf>
    <xf numFmtId="184" fontId="19" fillId="10" borderId="0" xfId="0" applyNumberFormat="1" applyFont="1" applyFill="1" applyAlignment="1">
      <alignment horizontal="center"/>
    </xf>
    <xf numFmtId="186" fontId="19" fillId="10" borderId="0" xfId="0" applyNumberFormat="1" applyFont="1" applyFill="1" applyAlignment="1">
      <alignment horizontal="center"/>
    </xf>
    <xf numFmtId="178" fontId="3" fillId="10" borderId="0" xfId="0" applyNumberFormat="1" applyFont="1" applyFill="1" applyAlignment="1">
      <alignment horizontal="center"/>
    </xf>
    <xf numFmtId="188" fontId="3" fillId="10" borderId="0" xfId="0" applyNumberFormat="1" applyFont="1" applyFill="1" applyAlignment="1">
      <alignment horizontal="center"/>
    </xf>
    <xf numFmtId="183" fontId="0" fillId="10" borderId="0" xfId="0" applyNumberFormat="1" applyFill="1" applyAlignment="1">
      <alignment horizontal="center"/>
    </xf>
    <xf numFmtId="186" fontId="3" fillId="10" borderId="0" xfId="0" applyNumberFormat="1" applyFont="1" applyFill="1" applyAlignment="1">
      <alignment horizontal="center"/>
    </xf>
    <xf numFmtId="182" fontId="3" fillId="10" borderId="0" xfId="0" applyNumberFormat="1" applyFont="1" applyFill="1" applyAlignment="1">
      <alignment horizontal="center"/>
    </xf>
    <xf numFmtId="174" fontId="3" fillId="10" borderId="0" xfId="0" applyNumberFormat="1" applyFont="1" applyFill="1" applyAlignment="1">
      <alignment horizontal="center"/>
    </xf>
    <xf numFmtId="187" fontId="3" fillId="10" borderId="0" xfId="0" applyNumberFormat="1" applyFont="1" applyFill="1" applyAlignment="1">
      <alignment horizontal="center"/>
    </xf>
    <xf numFmtId="4" fontId="0" fillId="10" borderId="0" xfId="0" applyNumberFormat="1" applyFill="1"/>
    <xf numFmtId="9" fontId="0" fillId="10" borderId="0" xfId="0" applyNumberFormat="1" applyFill="1"/>
    <xf numFmtId="4" fontId="2" fillId="0" borderId="0" xfId="0" applyNumberFormat="1" applyFont="1"/>
  </cellXfs>
  <cellStyles count="6">
    <cellStyle name="Comma" xfId="1" builtinId="3"/>
    <cellStyle name="Comma 2" xfId="4" xr:uid="{EA2C592D-2F35-4B19-8C3B-A1710895A914}"/>
    <cellStyle name="Hyperlink" xfId="3" builtinId="8"/>
    <cellStyle name="Normal" xfId="0" builtinId="0"/>
    <cellStyle name="Normal 2" xfId="5" xr:uid="{528CA3CF-11B8-4FB0-960A-96371F5488E0}"/>
    <cellStyle name="Percent" xfId="2" builtinId="5"/>
  </cellStyles>
  <dxfs count="0"/>
  <tableStyles count="0" defaultTableStyle="TableStyleMedium2" defaultPivotStyle="PivotStyleLight16"/>
  <colors>
    <mruColors>
      <color rgb="FF182FA4"/>
      <color rgb="FF08E1A3"/>
      <color rgb="FFFF5050"/>
      <color rgb="FFFF0066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421917</xdr:colOff>
      <xdr:row>0</xdr:row>
      <xdr:rowOff>132230</xdr:rowOff>
    </xdr:from>
    <xdr:to>
      <xdr:col>9</xdr:col>
      <xdr:colOff>550582</xdr:colOff>
      <xdr:row>4</xdr:row>
      <xdr:rowOff>115174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42DA20-5714-D9E9-849B-A6954C87F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1467" y="132230"/>
          <a:ext cx="3176665" cy="859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A904B-E461-4783-9D7D-A82BC36F72B8}">
  <sheetPr>
    <tabColor theme="1" tint="0.34998626667073579"/>
  </sheetPr>
  <dimension ref="B3:T18"/>
  <sheetViews>
    <sheetView showGridLines="0" zoomScale="70" zoomScaleNormal="70" workbookViewId="0">
      <selection activeCell="M37" sqref="M37"/>
    </sheetView>
  </sheetViews>
  <sheetFormatPr defaultRowHeight="14.5" x14ac:dyDescent="0.35"/>
  <cols>
    <col min="2" max="2" width="14.54296875" customWidth="1"/>
    <col min="3" max="3" width="14" customWidth="1"/>
    <col min="4" max="4" width="11.453125" bestFit="1" customWidth="1"/>
    <col min="12" max="12" width="17.54296875" customWidth="1"/>
    <col min="13" max="13" width="8.81640625" customWidth="1"/>
  </cols>
  <sheetData>
    <row r="3" spans="2:20" ht="26" x14ac:dyDescent="0.6">
      <c r="B3" s="12" t="s">
        <v>12</v>
      </c>
    </row>
    <row r="5" spans="2:20" s="11" customFormat="1" ht="15" thickBot="1" x14ac:dyDescent="0.4"/>
    <row r="8" spans="2:20" ht="15.5" x14ac:dyDescent="0.35">
      <c r="B8" s="13" t="s">
        <v>20</v>
      </c>
      <c r="C8" s="13" t="s">
        <v>21</v>
      </c>
      <c r="F8" s="14" t="s">
        <v>13</v>
      </c>
    </row>
    <row r="9" spans="2:20" ht="18.5" x14ac:dyDescent="0.45">
      <c r="B9" s="4">
        <v>1</v>
      </c>
      <c r="C9" t="s">
        <v>22</v>
      </c>
      <c r="T9" s="5"/>
    </row>
    <row r="10" spans="2:20" x14ac:dyDescent="0.35">
      <c r="B10" s="4">
        <f>B9+1</f>
        <v>2</v>
      </c>
      <c r="C10" t="s">
        <v>80</v>
      </c>
      <c r="F10" s="141" t="s">
        <v>15</v>
      </c>
      <c r="G10" t="s">
        <v>17</v>
      </c>
    </row>
    <row r="11" spans="2:20" x14ac:dyDescent="0.35">
      <c r="B11" s="4">
        <f>B10+1</f>
        <v>3</v>
      </c>
      <c r="C11" t="s">
        <v>107</v>
      </c>
      <c r="F11" s="7"/>
    </row>
    <row r="12" spans="2:20" x14ac:dyDescent="0.35">
      <c r="B12" s="4"/>
      <c r="C12" s="10"/>
      <c r="F12" s="6" t="s">
        <v>14</v>
      </c>
      <c r="G12" t="s">
        <v>18</v>
      </c>
    </row>
    <row r="13" spans="2:20" x14ac:dyDescent="0.35">
      <c r="B13" s="4"/>
      <c r="C13" s="10"/>
      <c r="F13" s="8"/>
    </row>
    <row r="14" spans="2:20" x14ac:dyDescent="0.35">
      <c r="B14" s="4"/>
      <c r="C14" s="10"/>
      <c r="F14" s="9" t="s">
        <v>16</v>
      </c>
      <c r="G14" t="s">
        <v>19</v>
      </c>
    </row>
    <row r="15" spans="2:20" x14ac:dyDescent="0.35">
      <c r="B15" s="4"/>
      <c r="C15" s="10"/>
    </row>
    <row r="16" spans="2:20" x14ac:dyDescent="0.35">
      <c r="B16" s="4"/>
      <c r="C16" s="10"/>
    </row>
    <row r="17" spans="2:3" x14ac:dyDescent="0.35">
      <c r="B17" s="4"/>
      <c r="C17" s="10"/>
    </row>
    <row r="18" spans="2:3" x14ac:dyDescent="0.35">
      <c r="B18" s="4"/>
      <c r="C18" s="10"/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FCCF-B874-4B70-BB8B-CADA210C2AB3}">
  <sheetPr>
    <tabColor theme="1" tint="0.34998626667073579"/>
  </sheetPr>
  <dimension ref="B1:T51"/>
  <sheetViews>
    <sheetView showGridLines="0" zoomScale="85" zoomScaleNormal="85" workbookViewId="0">
      <selection activeCell="K19" sqref="K19"/>
    </sheetView>
  </sheetViews>
  <sheetFormatPr defaultColWidth="8.81640625" defaultRowHeight="14.5" x14ac:dyDescent="0.35"/>
  <cols>
    <col min="1" max="1" width="3.453125" style="2" customWidth="1"/>
    <col min="2" max="2" width="1.1796875" style="21" customWidth="1"/>
    <col min="3" max="3" width="5" style="21" customWidth="1"/>
    <col min="4" max="4" width="10.81640625" style="21" customWidth="1"/>
    <col min="5" max="5" width="3.1796875" style="21" customWidth="1"/>
    <col min="6" max="11" width="16.54296875" style="2" customWidth="1"/>
    <col min="12" max="12" width="3.453125" style="2" customWidth="1"/>
    <col min="13" max="13" width="13.81640625" style="2" customWidth="1"/>
    <col min="14" max="14" width="15.54296875" style="2" customWidth="1"/>
    <col min="15" max="15" width="18" style="2" customWidth="1"/>
    <col min="16" max="18" width="15.54296875" style="2" customWidth="1"/>
    <col min="19" max="20" width="8.81640625" style="2"/>
    <col min="21" max="21" width="13.1796875" style="2" bestFit="1" customWidth="1"/>
    <col min="22" max="22" width="11" style="2" bestFit="1" customWidth="1"/>
    <col min="23" max="23" width="12" style="2" bestFit="1" customWidth="1"/>
    <col min="24" max="24" width="8.81640625" style="2"/>
    <col min="25" max="25" width="10.81640625" style="2" customWidth="1"/>
    <col min="26" max="26" width="8.81640625" style="2"/>
    <col min="27" max="27" width="9.54296875" style="2" bestFit="1" customWidth="1"/>
    <col min="28" max="16384" width="8.81640625" style="2"/>
  </cols>
  <sheetData>
    <row r="1" spans="2:18" ht="10.5" customHeight="1" x14ac:dyDescent="0.35">
      <c r="H1" s="22"/>
      <c r="K1" s="23"/>
    </row>
    <row r="2" spans="2:18" ht="10.5" customHeight="1" x14ac:dyDescent="0.35">
      <c r="H2" s="22"/>
      <c r="K2" s="23"/>
    </row>
    <row r="3" spans="2:18" ht="19" customHeight="1" x14ac:dyDescent="0.35">
      <c r="B3" s="134"/>
      <c r="C3" s="134"/>
      <c r="D3" s="134"/>
      <c r="E3" s="134"/>
      <c r="F3" s="164" t="s">
        <v>8</v>
      </c>
      <c r="G3" s="164"/>
      <c r="H3" s="165"/>
      <c r="I3" s="164"/>
      <c r="J3" s="164"/>
      <c r="K3" s="164"/>
      <c r="M3" s="3" t="s">
        <v>28</v>
      </c>
      <c r="N3" s="3"/>
      <c r="O3" s="3"/>
      <c r="P3" s="3"/>
      <c r="Q3" s="3"/>
      <c r="R3" s="3"/>
    </row>
    <row r="4" spans="2:18" ht="46.5" customHeight="1" x14ac:dyDescent="0.35">
      <c r="B4" s="140" t="s">
        <v>29</v>
      </c>
      <c r="C4" s="140"/>
      <c r="D4" s="20"/>
      <c r="E4" s="1"/>
      <c r="F4" s="20" t="s">
        <v>106</v>
      </c>
      <c r="G4" s="20" t="s">
        <v>100</v>
      </c>
      <c r="H4" s="20" t="s">
        <v>76</v>
      </c>
      <c r="I4" s="20" t="s">
        <v>101</v>
      </c>
      <c r="J4" s="20" t="s">
        <v>77</v>
      </c>
      <c r="K4" s="20" t="s">
        <v>1</v>
      </c>
      <c r="L4" s="1"/>
      <c r="M4" s="20" t="s">
        <v>105</v>
      </c>
      <c r="N4" s="20" t="s">
        <v>103</v>
      </c>
      <c r="O4" s="20" t="s">
        <v>76</v>
      </c>
      <c r="P4" s="20" t="s">
        <v>102</v>
      </c>
      <c r="Q4" s="20" t="s">
        <v>77</v>
      </c>
      <c r="R4" s="20" t="s">
        <v>1</v>
      </c>
    </row>
    <row r="5" spans="2:18" ht="15" customHeigh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2:18" ht="15" customHeight="1" x14ac:dyDescent="0.35">
      <c r="B6" s="145" t="s">
        <v>81</v>
      </c>
      <c r="C6" s="146"/>
      <c r="D6" s="146"/>
      <c r="E6" s="147"/>
      <c r="F6" s="148">
        <f>F8+F14</f>
        <v>35.643401111615788</v>
      </c>
      <c r="G6" s="148">
        <f>G8+G14</f>
        <v>33.681168921615793</v>
      </c>
      <c r="H6" s="149">
        <f>'2- Detailed'!X48</f>
        <v>2.9795641456124953</v>
      </c>
      <c r="I6" s="148">
        <f>I8+I14</f>
        <v>142.94481139799359</v>
      </c>
      <c r="J6" s="148">
        <f>I6/G6</f>
        <v>4.2440573167356712</v>
      </c>
      <c r="K6" s="151">
        <f>(J6^(1/H6))-1</f>
        <v>0.62441002896006981</v>
      </c>
      <c r="L6" s="150"/>
      <c r="M6" s="148">
        <f>M8+M14</f>
        <v>255.1494024384088</v>
      </c>
      <c r="N6" s="148">
        <f>N8+N14</f>
        <v>184.1494024384088</v>
      </c>
      <c r="O6" s="149">
        <f>'2- Detailed'!X48</f>
        <v>2.9795641456124953</v>
      </c>
      <c r="P6" s="148">
        <f>P8+P14</f>
        <v>786.19646268896474</v>
      </c>
      <c r="Q6" s="148">
        <f>P6/N6</f>
        <v>4.2693402871720885</v>
      </c>
      <c r="R6" s="156">
        <f>(Q6^(1/O6))-1</f>
        <v>0.62765142664356244</v>
      </c>
    </row>
    <row r="7" spans="2:18" ht="15" customHeight="1" x14ac:dyDescent="0.35">
      <c r="B7" s="1"/>
      <c r="C7" s="1"/>
      <c r="D7" s="1"/>
      <c r="E7" s="1"/>
      <c r="F7" s="135"/>
      <c r="G7" s="135"/>
      <c r="H7" s="135"/>
      <c r="I7" s="135"/>
      <c r="J7" s="135"/>
      <c r="K7" s="152"/>
      <c r="L7" s="1"/>
      <c r="M7" s="135"/>
      <c r="N7" s="135"/>
      <c r="O7" s="135"/>
      <c r="P7" s="135"/>
      <c r="Q7" s="135"/>
      <c r="R7" s="152"/>
    </row>
    <row r="8" spans="2:18" ht="15" customHeight="1" x14ac:dyDescent="0.35">
      <c r="B8" s="143"/>
      <c r="C8" s="143" t="s">
        <v>35</v>
      </c>
      <c r="D8" s="144"/>
      <c r="E8" s="133"/>
      <c r="F8" s="142">
        <f>'2- Detailed'!K53</f>
        <v>17.94163010897347</v>
      </c>
      <c r="G8" s="142">
        <f>G9+G10+G11+G12</f>
        <v>17.94163010897347</v>
      </c>
      <c r="H8" s="142">
        <f>'2- Detailed'!X49</f>
        <v>4.3115087068252915</v>
      </c>
      <c r="I8" s="142">
        <f>I9+I10+I11+I12+('2- Detailed'!F54/'2- Detailed'!E3)</f>
        <v>102.5696924085911</v>
      </c>
      <c r="J8" s="142">
        <f>I8/G8</f>
        <v>5.7168546996903622</v>
      </c>
      <c r="K8" s="153">
        <f>(J8^(1/H8))-1</f>
        <v>0.49834920156860507</v>
      </c>
      <c r="L8" s="133"/>
      <c r="M8" s="142">
        <f>'2- Detailed'!K49</f>
        <v>98.402902438408788</v>
      </c>
      <c r="N8" s="142">
        <f>N9+N10+N11+N12</f>
        <v>98.402902438408788</v>
      </c>
      <c r="O8" s="142">
        <f>'2- Detailed'!X49</f>
        <v>4.3115087068252915</v>
      </c>
      <c r="P8" s="142">
        <f>P9+P10+P11+P12+'2- Detailed'!F54</f>
        <v>564.13330824725097</v>
      </c>
      <c r="Q8" s="142">
        <f>P8/N8</f>
        <v>5.7328929764073449</v>
      </c>
      <c r="R8" s="153">
        <f>(Q8^(1/O8))-1</f>
        <v>0.49932310734952612</v>
      </c>
    </row>
    <row r="9" spans="2:18" ht="15" customHeight="1" x14ac:dyDescent="0.25">
      <c r="B9" s="2"/>
      <c r="C9" s="2"/>
      <c r="D9" s="2">
        <v>2018</v>
      </c>
      <c r="E9" s="2"/>
      <c r="F9" s="136"/>
      <c r="G9" s="137">
        <f>'2- Detailed'!AC8+'2- Detailed'!AC9</f>
        <v>0.10396631491396788</v>
      </c>
      <c r="H9" s="136"/>
      <c r="I9" s="137">
        <f>'2- Detailed'!AE8+'2- Detailed'!AE9</f>
        <v>14.488363636363641</v>
      </c>
      <c r="J9" s="136"/>
      <c r="K9" s="154"/>
      <c r="M9" s="136"/>
      <c r="N9" s="137">
        <f>'2- Detailed'!L8+'2- Detailed'!L9</f>
        <v>0.4</v>
      </c>
      <c r="O9" s="136"/>
      <c r="P9" s="137">
        <f>'2- Detailed'!Y8+'2- Detailed'!Y9</f>
        <v>79.686000000000007</v>
      </c>
      <c r="Q9" s="136"/>
      <c r="R9" s="154"/>
    </row>
    <row r="10" spans="2:18" ht="15" customHeight="1" x14ac:dyDescent="0.25">
      <c r="B10" s="2"/>
      <c r="C10" s="2"/>
      <c r="D10" s="2">
        <v>2019</v>
      </c>
      <c r="E10" s="2"/>
      <c r="F10" s="136"/>
      <c r="G10" s="137">
        <f>'2- Detailed'!AC11+'2- Detailed'!AC12+'2- Detailed'!AC15</f>
        <v>2.8499999999999996</v>
      </c>
      <c r="H10" s="136"/>
      <c r="I10" s="137">
        <f>'2- Detailed'!AE11+'2- Detailed'!AE12+'2- Detailed'!AE15</f>
        <v>5.4106103421898055</v>
      </c>
      <c r="J10" s="136"/>
      <c r="K10" s="154"/>
      <c r="M10" s="136"/>
      <c r="N10" s="137">
        <f>'2- Detailed'!L11+'2- Detailed'!L12+'2- Detailed'!L15</f>
        <v>15.675000000000001</v>
      </c>
      <c r="O10" s="136"/>
      <c r="P10" s="137">
        <f>'2- Detailed'!Y11+'2- Detailed'!Y12+'2- Detailed'!Y15</f>
        <v>29.758356882043927</v>
      </c>
      <c r="Q10" s="136"/>
      <c r="R10" s="154"/>
    </row>
    <row r="11" spans="2:18" ht="15" customHeight="1" x14ac:dyDescent="0.25">
      <c r="B11" s="2"/>
      <c r="C11" s="2"/>
      <c r="D11" s="2">
        <v>2020</v>
      </c>
      <c r="E11" s="2"/>
      <c r="F11" s="136"/>
      <c r="G11" s="137">
        <f>'2- Detailed'!AC18+'2- Detailed'!AC20+'2- Detailed'!AC25+'2- Detailed'!AC16+('2- Detailed'!F49/'2- Detailed'!E3)</f>
        <v>4.3571550417071725</v>
      </c>
      <c r="H11" s="136"/>
      <c r="I11" s="137">
        <f>'2- Detailed'!AE18+'2- Detailed'!AE20+'2- Detailed'!AE25+'2- Detailed'!AE16</f>
        <v>60.753360551748237</v>
      </c>
      <c r="J11" s="136"/>
      <c r="K11" s="154"/>
      <c r="M11" s="136"/>
      <c r="N11" s="137">
        <f>'2- Detailed'!L18+'2- Detailed'!L20+'2- Detailed'!L25+'2- Detailed'!L16+'2- Detailed'!F49</f>
        <v>23.728524188408787</v>
      </c>
      <c r="O11" s="136"/>
      <c r="P11" s="137">
        <f>'2- Detailed'!Y18+'2- Detailed'!Y20+'2- Detailed'!Y25+'2- Detailed'!Y16</f>
        <v>334.14348303461526</v>
      </c>
      <c r="Q11" s="136"/>
      <c r="R11" s="154"/>
    </row>
    <row r="12" spans="2:18" ht="15" customHeight="1" x14ac:dyDescent="0.25">
      <c r="B12" s="2"/>
      <c r="C12" s="2"/>
      <c r="D12" s="2">
        <v>2021</v>
      </c>
      <c r="E12" s="2"/>
      <c r="F12" s="136"/>
      <c r="G12" s="137">
        <f>'2- Detailed'!AC13+'2- Detailed'!AC21+'2- Detailed'!AC26+'2- Detailed'!AC28</f>
        <v>10.630508752352332</v>
      </c>
      <c r="H12" s="136"/>
      <c r="I12" s="137">
        <f>'2- Detailed'!AE13+'2- Detailed'!AE21+'2- Detailed'!AE26+'2- Detailed'!AE28</f>
        <v>19.955125688289417</v>
      </c>
      <c r="J12" s="136"/>
      <c r="K12" s="154"/>
      <c r="M12" s="136"/>
      <c r="N12" s="137">
        <f>'2- Detailed'!L13+'2- Detailed'!L21+'2- Detailed'!L26+'2- Detailed'!L28</f>
        <v>58.599378250000001</v>
      </c>
      <c r="O12" s="136"/>
      <c r="P12" s="137">
        <f>'2- Detailed'!Y13+'2- Detailed'!Y21+'2- Detailed'!Y26+'2- Detailed'!Y28</f>
        <v>109.75319128559178</v>
      </c>
      <c r="Q12" s="136"/>
      <c r="R12" s="154"/>
    </row>
    <row r="13" spans="2:18" ht="15" customHeight="1" x14ac:dyDescent="0.35">
      <c r="B13" s="16"/>
      <c r="C13" s="16"/>
      <c r="D13" s="17"/>
      <c r="E13" s="17"/>
      <c r="F13" s="138"/>
      <c r="G13" s="137"/>
      <c r="H13" s="137"/>
      <c r="I13" s="137"/>
      <c r="J13" s="139"/>
      <c r="K13" s="155"/>
      <c r="M13" s="138"/>
      <c r="N13" s="137"/>
      <c r="O13" s="137"/>
      <c r="P13" s="137"/>
      <c r="Q13" s="139"/>
      <c r="R13" s="157"/>
    </row>
    <row r="14" spans="2:18" ht="15" customHeight="1" x14ac:dyDescent="0.35">
      <c r="B14" s="82"/>
      <c r="C14" s="143" t="s">
        <v>39</v>
      </c>
      <c r="D14" s="144"/>
      <c r="E14" s="133"/>
      <c r="F14" s="142">
        <f>'2- Detailed'!K54</f>
        <v>17.701771002642321</v>
      </c>
      <c r="G14" s="142">
        <f>G15+G16+G17+G18+G19</f>
        <v>15.739538812642323</v>
      </c>
      <c r="H14" s="142">
        <f>'2- Detailed'!X50</f>
        <v>1.4510211647282381</v>
      </c>
      <c r="I14" s="142">
        <f>I15+I16+I17+I18+('2- Detailed'!F55/'2- Detailed'!E3)</f>
        <v>40.375118989402509</v>
      </c>
      <c r="J14" s="142">
        <f>I14/G14</f>
        <v>2.5652034325791284</v>
      </c>
      <c r="K14" s="153">
        <f>(J14^(1/H14))-1</f>
        <v>0.91405497465176033</v>
      </c>
      <c r="L14" s="133"/>
      <c r="M14" s="142">
        <f>'2- Detailed'!K50</f>
        <v>156.7465</v>
      </c>
      <c r="N14" s="142">
        <f>N15+N16+N17+N18+N19</f>
        <v>85.746499999999997</v>
      </c>
      <c r="O14" s="142">
        <f>'2- Detailed'!X50</f>
        <v>1.4510211647282381</v>
      </c>
      <c r="P14" s="142">
        <f>P15+P16+P17+P18+'2- Detailed'!F55</f>
        <v>222.06315444171381</v>
      </c>
      <c r="Q14" s="142">
        <f>P14/N14</f>
        <v>2.5897634823778675</v>
      </c>
      <c r="R14" s="153">
        <f>(Q14^(1/O14))-1</f>
        <v>0.92666581638619294</v>
      </c>
    </row>
    <row r="15" spans="2:18" ht="15" customHeight="1" x14ac:dyDescent="0.25">
      <c r="B15" s="2"/>
      <c r="C15" s="2"/>
      <c r="D15" s="2">
        <v>2022</v>
      </c>
      <c r="E15" s="2"/>
      <c r="F15" s="136"/>
      <c r="G15" s="137">
        <f>'2- Detailed'!AC31</f>
        <v>2.3110272978544422</v>
      </c>
      <c r="H15" s="136"/>
      <c r="I15" s="137">
        <f>'2- Detailed'!AE31</f>
        <v>3.7186363636363633</v>
      </c>
      <c r="J15" s="136"/>
      <c r="K15" s="49"/>
      <c r="M15" s="136"/>
      <c r="N15" s="137">
        <f>'2- Detailed'!L31</f>
        <v>12.5</v>
      </c>
      <c r="O15" s="136"/>
      <c r="P15" s="137">
        <f>'2- Detailed'!Y31</f>
        <v>20.452500000000001</v>
      </c>
      <c r="Q15" s="136"/>
      <c r="R15" s="49"/>
    </row>
    <row r="16" spans="2:18" ht="15" customHeight="1" x14ac:dyDescent="0.25">
      <c r="B16" s="2"/>
      <c r="C16" s="2"/>
      <c r="D16" s="2">
        <v>2023</v>
      </c>
      <c r="E16" s="2"/>
      <c r="F16" s="136"/>
      <c r="G16" s="137">
        <f>'2- Detailed'!AC22+'2- Detailed'!AC23</f>
        <v>4.6971949172860228</v>
      </c>
      <c r="H16" s="136"/>
      <c r="I16" s="137">
        <f>'2- Detailed'!AE22+'2- Detailed'!AE23</f>
        <v>22.285259898493415</v>
      </c>
      <c r="J16" s="136"/>
      <c r="K16" s="49"/>
      <c r="M16" s="136"/>
      <c r="N16" s="137">
        <f>'2- Detailed'!L22+'2- Detailed'!L23</f>
        <v>24.5</v>
      </c>
      <c r="O16" s="136"/>
      <c r="P16" s="137">
        <f>'2- Detailed'!Y22+'2- Detailed'!Y23</f>
        <v>122.56892944171378</v>
      </c>
      <c r="Q16" s="136"/>
      <c r="R16" s="49"/>
    </row>
    <row r="17" spans="2:19" ht="15" customHeight="1" x14ac:dyDescent="0.25">
      <c r="B17" s="2"/>
      <c r="C17" s="2"/>
      <c r="D17" s="2">
        <v>2024</v>
      </c>
      <c r="E17" s="2"/>
      <c r="F17" s="136"/>
      <c r="G17" s="137">
        <f>'2- Detailed'!AC33+'2- Detailed'!AC36</f>
        <v>4.6188778129200525</v>
      </c>
      <c r="H17" s="136"/>
      <c r="I17" s="137">
        <f>'2- Detailed'!AE33+'2- Detailed'!AE36</f>
        <v>4.545454545454545</v>
      </c>
      <c r="J17" s="136"/>
      <c r="K17" s="49"/>
      <c r="M17" s="136"/>
      <c r="N17" s="137">
        <f>'2- Detailed'!L33+'2- Detailed'!L36</f>
        <v>25</v>
      </c>
      <c r="O17" s="136"/>
      <c r="P17" s="137">
        <f>'2- Detailed'!Y33+'2- Detailed'!Y36</f>
        <v>24.999999999999993</v>
      </c>
      <c r="Q17" s="136"/>
      <c r="R17" s="49"/>
    </row>
    <row r="18" spans="2:19" ht="15" customHeight="1" x14ac:dyDescent="0.25">
      <c r="B18" s="2"/>
      <c r="C18" s="2"/>
      <c r="D18" s="2">
        <v>2025</v>
      </c>
      <c r="E18" s="2"/>
      <c r="F18" s="136"/>
      <c r="G18" s="137">
        <f>'2- Detailed'!AC29+'2- Detailed'!AC34+'2- Detailed'!AC37</f>
        <v>4.1124387845818049</v>
      </c>
      <c r="H18" s="136"/>
      <c r="I18" s="137">
        <f>'2- Detailed'!AE29+'2- Detailed'!AE34+'2- Detailed'!AE37</f>
        <v>8.3491772727272728</v>
      </c>
      <c r="J18" s="136"/>
      <c r="K18" s="49"/>
      <c r="M18" s="136"/>
      <c r="N18" s="137">
        <f>'2- Detailed'!L29+'2- Detailed'!L34+'2- Detailed'!L37</f>
        <v>23.746500000000001</v>
      </c>
      <c r="O18" s="136"/>
      <c r="P18" s="137">
        <f>'2- Detailed'!Y29+'2- Detailed'!Y34+'2- Detailed'!Y37</f>
        <v>45.920474999999996</v>
      </c>
      <c r="Q18" s="136"/>
      <c r="R18" s="49"/>
    </row>
    <row r="19" spans="2:19" ht="15" customHeight="1" x14ac:dyDescent="0.35">
      <c r="B19" s="16"/>
      <c r="C19" s="16"/>
      <c r="D19" s="16"/>
      <c r="E19" s="16"/>
      <c r="F19" s="17"/>
      <c r="G19" s="17"/>
      <c r="H19" s="18"/>
      <c r="N19" s="81"/>
    </row>
    <row r="20" spans="2:19" ht="15" customHeight="1" x14ac:dyDescent="0.35">
      <c r="B20" s="16"/>
      <c r="C20" s="16"/>
      <c r="D20" s="16"/>
      <c r="E20" s="16"/>
      <c r="F20" s="17"/>
      <c r="G20" s="17"/>
      <c r="H20" s="18"/>
      <c r="I20" s="17"/>
      <c r="J20" s="15"/>
      <c r="K20" s="24"/>
      <c r="N20" s="17"/>
      <c r="O20" s="18"/>
      <c r="P20" s="17"/>
      <c r="Q20" s="15"/>
      <c r="R20" s="25"/>
    </row>
    <row r="21" spans="2:19" ht="15" customHeight="1" x14ac:dyDescent="0.35">
      <c r="B21" s="16"/>
      <c r="C21" s="16"/>
      <c r="D21" s="16"/>
      <c r="E21" s="16"/>
      <c r="F21" s="17"/>
      <c r="G21" s="17"/>
      <c r="H21" s="18"/>
      <c r="I21" s="17"/>
      <c r="J21" s="15"/>
      <c r="K21" s="24"/>
      <c r="N21" s="17"/>
      <c r="O21" s="18"/>
      <c r="P21" s="17"/>
      <c r="Q21" s="15"/>
      <c r="R21" s="25"/>
    </row>
    <row r="22" spans="2:19" ht="15" customHeight="1" x14ac:dyDescent="0.35">
      <c r="B22" s="16"/>
      <c r="C22" s="16"/>
      <c r="D22" s="16"/>
      <c r="E22" s="16"/>
      <c r="F22" s="17"/>
      <c r="G22" s="17"/>
      <c r="H22" s="19"/>
      <c r="I22" s="17"/>
      <c r="J22" s="15"/>
      <c r="K22" s="24"/>
      <c r="N22" s="17"/>
      <c r="O22" s="19"/>
      <c r="P22" s="17"/>
      <c r="Q22" s="15"/>
      <c r="R22" s="25"/>
    </row>
    <row r="23" spans="2:19" ht="15" customHeight="1" x14ac:dyDescent="0.35">
      <c r="B23" s="16"/>
      <c r="C23" s="16"/>
      <c r="D23" s="16"/>
      <c r="E23" s="16"/>
      <c r="F23" s="16"/>
      <c r="G23" s="16"/>
      <c r="H23" s="19"/>
      <c r="I23" s="17"/>
      <c r="J23" s="15"/>
      <c r="K23" s="24"/>
      <c r="N23" s="17"/>
      <c r="O23" s="19"/>
      <c r="P23" s="17"/>
      <c r="Q23" s="15"/>
      <c r="R23" s="25"/>
    </row>
    <row r="24" spans="2:19" ht="15" customHeight="1" x14ac:dyDescent="0.35">
      <c r="B24" s="16"/>
      <c r="C24" s="16"/>
      <c r="D24" s="16"/>
      <c r="E24" s="16"/>
      <c r="F24" s="16"/>
      <c r="G24" s="16"/>
      <c r="H24" s="19"/>
      <c r="I24" s="17"/>
      <c r="J24" s="15"/>
      <c r="K24" s="24"/>
      <c r="N24" s="17"/>
      <c r="O24" s="19"/>
      <c r="P24" s="17"/>
      <c r="Q24" s="15"/>
      <c r="R24" s="25"/>
    </row>
    <row r="25" spans="2:19" ht="15" customHeight="1" x14ac:dyDescent="0.35">
      <c r="D25" s="2"/>
    </row>
    <row r="26" spans="2:19" ht="15" customHeight="1" x14ac:dyDescent="0.35">
      <c r="B26" s="16"/>
      <c r="C26" s="16"/>
      <c r="D26" s="16"/>
      <c r="E26" s="16"/>
      <c r="F26" s="17"/>
      <c r="G26" s="17"/>
      <c r="H26" s="29"/>
      <c r="I26" s="17"/>
      <c r="J26" s="29"/>
      <c r="K26" s="29"/>
      <c r="N26" s="17"/>
      <c r="O26" s="29"/>
      <c r="P26" s="17"/>
      <c r="Q26" s="29"/>
      <c r="R26" s="29"/>
    </row>
    <row r="27" spans="2:19" ht="15" customHeight="1" x14ac:dyDescent="0.35">
      <c r="F27"/>
      <c r="G27"/>
      <c r="H27"/>
      <c r="I27" s="26"/>
      <c r="N27" s="32"/>
      <c r="P27" s="26"/>
    </row>
    <row r="28" spans="2:19" x14ac:dyDescent="0.35">
      <c r="F28"/>
      <c r="G28"/>
      <c r="H28"/>
    </row>
    <row r="29" spans="2:19" x14ac:dyDescent="0.35">
      <c r="F29"/>
      <c r="G29"/>
      <c r="H29"/>
      <c r="J29" s="32"/>
      <c r="K29" s="32"/>
      <c r="L29" s="32"/>
      <c r="M29" s="32"/>
      <c r="N29" s="32"/>
      <c r="P29" s="26"/>
    </row>
    <row r="30" spans="2:19" x14ac:dyDescent="0.35">
      <c r="F30"/>
      <c r="G30"/>
      <c r="H30"/>
      <c r="J30" s="32"/>
      <c r="K30" s="32"/>
      <c r="L30" s="32"/>
      <c r="M30" s="32"/>
      <c r="N30" s="32"/>
      <c r="P30" s="26"/>
      <c r="Q30" s="27"/>
      <c r="R30" s="27"/>
      <c r="S30" s="27"/>
    </row>
    <row r="31" spans="2:19" x14ac:dyDescent="0.35">
      <c r="F31" s="28"/>
      <c r="G31" s="28"/>
      <c r="H31"/>
      <c r="I31" s="27"/>
      <c r="J31" s="32"/>
      <c r="K31" s="32"/>
      <c r="L31" s="32"/>
      <c r="M31" s="32"/>
      <c r="N31" s="32"/>
      <c r="O31" s="27"/>
      <c r="P31" s="30"/>
      <c r="Q31" s="27"/>
      <c r="R31" s="27"/>
      <c r="S31" s="27"/>
    </row>
    <row r="32" spans="2:19" x14ac:dyDescent="0.35">
      <c r="F32"/>
      <c r="G32"/>
      <c r="H32"/>
      <c r="J32" s="32"/>
      <c r="K32" s="32"/>
      <c r="L32" s="32"/>
      <c r="M32" s="32"/>
      <c r="N32" s="32"/>
      <c r="R32" s="27"/>
      <c r="S32" s="27"/>
    </row>
    <row r="33" spans="5:20" x14ac:dyDescent="0.35">
      <c r="F33"/>
      <c r="G33"/>
      <c r="H33"/>
      <c r="J33" s="32"/>
      <c r="K33" s="32"/>
      <c r="L33" s="32"/>
      <c r="M33" s="32"/>
      <c r="N33" s="32"/>
      <c r="P33" s="26"/>
      <c r="S33" s="27"/>
    </row>
    <row r="34" spans="5:20" x14ac:dyDescent="0.35">
      <c r="J34" s="32"/>
      <c r="K34" s="32"/>
      <c r="L34" s="32"/>
      <c r="M34" s="32"/>
      <c r="N34" s="32"/>
      <c r="S34" s="26"/>
    </row>
    <row r="35" spans="5:20" x14ac:dyDescent="0.35">
      <c r="J35" s="32"/>
      <c r="K35" s="32"/>
      <c r="L35" s="32"/>
      <c r="M35" s="32"/>
      <c r="N35" s="32"/>
      <c r="S35" s="26"/>
    </row>
    <row r="36" spans="5:20" x14ac:dyDescent="0.35">
      <c r="J36" s="32"/>
      <c r="K36" s="32"/>
      <c r="L36" s="32"/>
      <c r="M36" s="32"/>
      <c r="N36" s="32"/>
      <c r="T36" s="27"/>
    </row>
    <row r="37" spans="5:20" x14ac:dyDescent="0.35">
      <c r="J37" s="32"/>
      <c r="K37" s="32"/>
      <c r="L37" s="32"/>
      <c r="M37" s="32"/>
      <c r="N37" s="32"/>
    </row>
    <row r="38" spans="5:20" x14ac:dyDescent="0.35">
      <c r="J38" s="32"/>
      <c r="K38" s="32"/>
      <c r="L38" s="32"/>
      <c r="M38" s="32"/>
      <c r="N38" s="32"/>
    </row>
    <row r="39" spans="5:20" x14ac:dyDescent="0.35">
      <c r="E39" s="2"/>
      <c r="J39" s="32"/>
      <c r="K39" s="32"/>
      <c r="L39" s="32"/>
      <c r="M39" s="32"/>
      <c r="N39" s="32"/>
    </row>
    <row r="40" spans="5:20" x14ac:dyDescent="0.35">
      <c r="E40" s="2"/>
      <c r="J40" s="32"/>
      <c r="K40" s="32"/>
      <c r="L40" s="32"/>
      <c r="M40" s="32"/>
      <c r="N40" s="32"/>
    </row>
    <row r="41" spans="5:20" x14ac:dyDescent="0.35">
      <c r="E41" s="2"/>
    </row>
    <row r="50" spans="14:18" x14ac:dyDescent="0.35">
      <c r="N50" s="81"/>
      <c r="O50" s="81"/>
      <c r="P50" s="81"/>
      <c r="Q50" s="81"/>
      <c r="R50" s="79"/>
    </row>
    <row r="51" spans="14:18" x14ac:dyDescent="0.35">
      <c r="N51" s="81"/>
      <c r="O51" s="60"/>
      <c r="P51" s="81"/>
      <c r="Q51" s="81"/>
      <c r="R51" s="79"/>
    </row>
  </sheetData>
  <pageMargins left="0.7" right="0.7" top="0.75" bottom="0.75" header="0.3" footer="0.3"/>
  <pageSetup paperSize="9" orientation="portrait" r:id="rId1"/>
  <ignoredErrors>
    <ignoredError sqref="O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5573-6857-40A7-89A6-C57F528192E1}">
  <sheetPr>
    <tabColor theme="1" tint="0.34998626667073579"/>
  </sheetPr>
  <dimension ref="A1:AN64"/>
  <sheetViews>
    <sheetView showGridLines="0" tabSelected="1" topLeftCell="A4" zoomScale="85" zoomScaleNormal="85" workbookViewId="0">
      <pane xSplit="4" ySplit="3" topLeftCell="E23" activePane="bottomRight" state="frozen"/>
      <selection activeCell="A4" sqref="A4"/>
      <selection pane="topRight" activeCell="E4" sqref="E4"/>
      <selection pane="bottomLeft" activeCell="A7" sqref="A7"/>
      <selection pane="bottomRight" activeCell="B27" sqref="B27"/>
    </sheetView>
  </sheetViews>
  <sheetFormatPr defaultRowHeight="14.5" outlineLevelRow="1" outlineLevelCol="1" x14ac:dyDescent="0.35"/>
  <cols>
    <col min="1" max="1" width="3.453125" customWidth="1"/>
    <col min="2" max="2" width="2.54296875" customWidth="1"/>
    <col min="4" max="4" width="3.81640625" customWidth="1"/>
    <col min="5" max="5" width="8.81640625" style="4" customWidth="1"/>
    <col min="6" max="6" width="8.1796875" style="4" customWidth="1"/>
    <col min="7" max="7" width="12.81640625" style="4" customWidth="1"/>
    <col min="8" max="8" width="34.453125" style="4" bestFit="1" customWidth="1"/>
    <col min="9" max="9" width="8.81640625" style="4" hidden="1" customWidth="1" outlineLevel="1"/>
    <col min="10" max="10" width="11" style="4" hidden="1" customWidth="1" outlineLevel="1"/>
    <col min="11" max="11" width="12.1796875" style="4" hidden="1" customWidth="1" outlineLevel="1"/>
    <col min="12" max="12" width="10.81640625" style="4" customWidth="1" collapsed="1"/>
    <col min="13" max="13" width="10.81640625" style="4" customWidth="1" outlineLevel="1"/>
    <col min="14" max="14" width="2.54296875" style="4" customWidth="1" outlineLevel="1"/>
    <col min="15" max="16" width="10.54296875" style="4" customWidth="1" outlineLevel="1"/>
    <col min="17" max="17" width="10.1796875" style="4" customWidth="1" outlineLevel="1"/>
    <col min="18" max="18" width="10.453125" style="4" customWidth="1" outlineLevel="1"/>
    <col min="19" max="19" width="3.1796875" style="4" customWidth="1"/>
    <col min="20" max="20" width="13.54296875" style="4" customWidth="1"/>
    <col min="21" max="22" width="9.54296875" style="4" hidden="1" customWidth="1" outlineLevel="1"/>
    <col min="23" max="23" width="2.54296875" style="4" customWidth="1" collapsed="1"/>
    <col min="24" max="24" width="12.1796875" style="4" customWidth="1"/>
    <col min="25" max="25" width="10.1796875" style="4" customWidth="1"/>
    <col min="26" max="26" width="7.81640625" style="4" customWidth="1"/>
    <col min="27" max="27" width="7.1796875" style="4" customWidth="1"/>
    <col min="28" max="28" width="2.81640625" customWidth="1"/>
    <col min="29" max="29" width="9.81640625" style="4" hidden="1" customWidth="1" outlineLevel="1"/>
    <col min="30" max="30" width="12" hidden="1" customWidth="1" outlineLevel="1"/>
    <col min="31" max="31" width="9.81640625" hidden="1" customWidth="1" outlineLevel="1"/>
    <col min="32" max="32" width="7.81640625" hidden="1" customWidth="1" outlineLevel="1"/>
    <col min="33" max="34" width="0" hidden="1" customWidth="1" outlineLevel="1"/>
    <col min="35" max="35" width="8.7265625" collapsed="1"/>
  </cols>
  <sheetData>
    <row r="1" spans="1:40" outlineLevel="1" x14ac:dyDescent="0.35"/>
    <row r="2" spans="1:40" outlineLevel="1" x14ac:dyDescent="0.35">
      <c r="B2" s="33" t="s">
        <v>0</v>
      </c>
      <c r="C2" s="33"/>
      <c r="D2" s="33"/>
      <c r="E2" s="55">
        <v>45878</v>
      </c>
      <c r="H2" s="43"/>
      <c r="I2" s="44"/>
      <c r="J2" s="44"/>
      <c r="K2" s="45"/>
      <c r="L2" s="44"/>
      <c r="M2" s="44"/>
      <c r="N2" s="44"/>
      <c r="O2" s="2"/>
      <c r="P2" s="2"/>
      <c r="Q2" s="2"/>
      <c r="R2" s="2"/>
      <c r="S2" s="2"/>
      <c r="T2" s="2"/>
      <c r="U2" s="2"/>
      <c r="V2" s="2"/>
      <c r="X2" s="2"/>
      <c r="Y2" s="2"/>
      <c r="Z2" s="2"/>
      <c r="AA2" s="2"/>
      <c r="AC2" s="44"/>
      <c r="AE2" s="21"/>
    </row>
    <row r="3" spans="1:40" outlineLevel="1" x14ac:dyDescent="0.35">
      <c r="B3" s="34" t="s">
        <v>55</v>
      </c>
      <c r="C3" s="34"/>
      <c r="D3" s="34"/>
      <c r="E3" s="122">
        <v>5.5</v>
      </c>
      <c r="H3" s="4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X3" s="2"/>
      <c r="Y3" s="2"/>
      <c r="Z3" s="2"/>
      <c r="AA3" s="2"/>
      <c r="AC3" s="2"/>
      <c r="AE3" s="21"/>
    </row>
    <row r="4" spans="1:40" ht="10.5" customHeight="1" x14ac:dyDescent="0.35">
      <c r="A4" s="21"/>
      <c r="B4" s="21"/>
      <c r="C4" s="21"/>
      <c r="D4" s="2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X4" s="2"/>
      <c r="Y4" s="2"/>
      <c r="Z4" s="2"/>
      <c r="AA4" s="2"/>
      <c r="AC4" s="2"/>
      <c r="AE4" s="21"/>
    </row>
    <row r="5" spans="1:40" x14ac:dyDescent="0.35">
      <c r="A5" s="21"/>
      <c r="B5" s="21"/>
      <c r="C5" s="21"/>
      <c r="D5" s="21"/>
      <c r="E5" s="123" t="s">
        <v>91</v>
      </c>
      <c r="F5" s="123"/>
      <c r="G5" s="123"/>
      <c r="H5" s="123"/>
      <c r="I5" s="123"/>
      <c r="J5" s="123"/>
      <c r="K5" s="123"/>
      <c r="L5" s="123"/>
      <c r="M5" s="123"/>
      <c r="N5" s="2"/>
      <c r="O5" s="123" t="s">
        <v>92</v>
      </c>
      <c r="P5" s="123"/>
      <c r="Q5" s="123"/>
      <c r="R5" s="123"/>
      <c r="S5" s="2"/>
      <c r="T5" s="123" t="s">
        <v>93</v>
      </c>
      <c r="U5" s="123"/>
      <c r="V5" s="123"/>
      <c r="X5" s="123" t="s">
        <v>94</v>
      </c>
      <c r="Y5" s="123"/>
      <c r="Z5" s="123"/>
      <c r="AA5" s="123"/>
      <c r="AC5" s="123" t="s">
        <v>95</v>
      </c>
      <c r="AD5" s="123"/>
      <c r="AE5" s="123"/>
      <c r="AF5" s="123"/>
      <c r="AG5" s="123"/>
    </row>
    <row r="6" spans="1:40" ht="43.5" x14ac:dyDescent="0.35">
      <c r="A6" s="35"/>
      <c r="B6" s="36"/>
      <c r="C6" s="36"/>
      <c r="D6" s="36"/>
      <c r="E6" s="47" t="s">
        <v>0</v>
      </c>
      <c r="F6" s="47" t="s">
        <v>78</v>
      </c>
      <c r="G6" s="47" t="s">
        <v>30</v>
      </c>
      <c r="H6" s="47" t="s">
        <v>54</v>
      </c>
      <c r="I6" s="47" t="s">
        <v>99</v>
      </c>
      <c r="J6" s="47" t="s">
        <v>82</v>
      </c>
      <c r="K6" s="47" t="s">
        <v>48</v>
      </c>
      <c r="L6" s="47" t="s">
        <v>104</v>
      </c>
      <c r="M6" s="47" t="s">
        <v>74</v>
      </c>
      <c r="N6" s="48"/>
      <c r="O6" s="47" t="s">
        <v>32</v>
      </c>
      <c r="P6" s="47" t="s">
        <v>33</v>
      </c>
      <c r="Q6" s="47" t="s">
        <v>34</v>
      </c>
      <c r="R6" s="47" t="s">
        <v>31</v>
      </c>
      <c r="S6" s="48"/>
      <c r="T6" s="47" t="s">
        <v>47</v>
      </c>
      <c r="U6" s="47" t="s">
        <v>51</v>
      </c>
      <c r="V6" s="47" t="s">
        <v>52</v>
      </c>
      <c r="X6" s="47" t="s">
        <v>75</v>
      </c>
      <c r="Y6" s="47" t="s">
        <v>50</v>
      </c>
      <c r="Z6" s="47" t="s">
        <v>36</v>
      </c>
      <c r="AA6" s="47" t="s">
        <v>27</v>
      </c>
      <c r="AC6" s="47" t="s">
        <v>104</v>
      </c>
      <c r="AD6" s="47" t="s">
        <v>75</v>
      </c>
      <c r="AE6" s="47" t="s">
        <v>50</v>
      </c>
      <c r="AF6" s="47" t="s">
        <v>36</v>
      </c>
      <c r="AG6" s="47" t="s">
        <v>27</v>
      </c>
      <c r="AI6" s="47" t="s">
        <v>117</v>
      </c>
      <c r="AJ6" s="47" t="s">
        <v>118</v>
      </c>
      <c r="AL6" s="47" t="s">
        <v>119</v>
      </c>
      <c r="AM6" s="47" t="s">
        <v>36</v>
      </c>
      <c r="AN6" s="47" t="s">
        <v>120</v>
      </c>
    </row>
    <row r="7" spans="1:40" x14ac:dyDescent="0.35">
      <c r="A7" s="31"/>
      <c r="B7" s="37" t="s">
        <v>23</v>
      </c>
      <c r="C7" s="31"/>
      <c r="D7" s="31"/>
      <c r="E7" s="49"/>
      <c r="F7" s="49"/>
      <c r="G7" s="49"/>
      <c r="H7" s="49"/>
      <c r="I7" s="49"/>
      <c r="J7" s="49"/>
      <c r="K7" s="99"/>
      <c r="L7" s="101">
        <f>L8+L9</f>
        <v>0.4</v>
      </c>
      <c r="M7" s="49"/>
      <c r="N7" s="50"/>
      <c r="O7" s="51">
        <v>0.33636802489718809</v>
      </c>
      <c r="P7" s="168">
        <v>676.68148148148146</v>
      </c>
      <c r="Q7" s="168">
        <v>129</v>
      </c>
      <c r="R7" s="53">
        <f>R8+R9</f>
        <v>8.5500000000000007E-2</v>
      </c>
      <c r="S7" s="54"/>
      <c r="T7" s="114">
        <f>SUMPRODUCT(T8:T9,$M$8:$M$9)</f>
        <v>7.1945205479452055</v>
      </c>
      <c r="U7" s="115"/>
      <c r="V7" s="115"/>
      <c r="X7" s="159">
        <v>932</v>
      </c>
      <c r="Y7" s="101">
        <f>Y8+Y9</f>
        <v>79.686000000000007</v>
      </c>
      <c r="Z7" s="107">
        <f t="shared" ref="Z7:Z37" si="0">IFERROR(Y7/L7,0)</f>
        <v>199.215</v>
      </c>
      <c r="AA7" s="83">
        <f>IFERROR(((Z7^(1/$T7))-1),0)</f>
        <v>1.0873414849033058</v>
      </c>
      <c r="AC7" s="110">
        <f>AC8+AC9</f>
        <v>0.10396631491396788</v>
      </c>
      <c r="AD7" s="111">
        <f>X7/$E$3</f>
        <v>169.45454545454547</v>
      </c>
      <c r="AE7" s="110">
        <f>AE8+AE9</f>
        <v>14.488363636363641</v>
      </c>
      <c r="AF7" s="107">
        <f>IFERROR(AE7/AC7,0)</f>
        <v>139.35632563636366</v>
      </c>
      <c r="AG7" s="83">
        <f>IFERROR(((AF7^(1/$T7))-1),0)</f>
        <v>0.9861963455788112</v>
      </c>
      <c r="AI7" s="172">
        <f t="shared" ref="AI7:AI41" si="1">IFERROR(X7/Q7,"-")</f>
        <v>7.224806201550388</v>
      </c>
      <c r="AJ7" s="172">
        <f>IFERROR(X7/P7,"-")</f>
        <v>1.3773097469130398</v>
      </c>
    </row>
    <row r="8" spans="1:40" outlineLevel="1" x14ac:dyDescent="0.35">
      <c r="A8" s="21"/>
      <c r="B8" s="37"/>
      <c r="C8" s="38" t="s">
        <v>66</v>
      </c>
      <c r="D8" s="38"/>
      <c r="E8" s="55">
        <v>43252</v>
      </c>
      <c r="F8" s="80">
        <f>YEAR(E8)</f>
        <v>2018</v>
      </c>
      <c r="G8" s="56" t="s">
        <v>35</v>
      </c>
      <c r="H8" s="56" t="s">
        <v>98</v>
      </c>
      <c r="I8" s="57" t="s">
        <v>37</v>
      </c>
      <c r="J8" s="97">
        <f>SUMIF('3- Support - FX rate'!$A$4:$A$90,'2- Detailed'!E8,'3- Support - FX rate'!$B$4:$B$90)</f>
        <v>3.8473999999999999</v>
      </c>
      <c r="K8" s="100">
        <v>0.2</v>
      </c>
      <c r="L8" s="102">
        <f>IF(I8="USD",K8*$E$3,K8)</f>
        <v>0.2</v>
      </c>
      <c r="M8" s="51">
        <f>L8/$L$7</f>
        <v>0.5</v>
      </c>
      <c r="N8" s="58"/>
      <c r="O8" s="49"/>
      <c r="P8" s="169"/>
      <c r="Q8" s="169"/>
      <c r="R8" s="75">
        <f>6.07%</f>
        <v>6.0700000000000004E-2</v>
      </c>
      <c r="S8" s="59"/>
      <c r="T8" s="116">
        <f>IF(($E$2-$E8)&gt;0,($E$2-$E8)/365,0)</f>
        <v>7.1945205479452055</v>
      </c>
      <c r="U8" s="116">
        <f>T8*L8/IF(G8=$J$49,$L$49,$L$50)</f>
        <v>1.4622577931475787E-2</v>
      </c>
      <c r="V8" s="116">
        <f>T8*L8/($L$49+$L$50)</f>
        <v>7.8137864719398237E-3</v>
      </c>
      <c r="X8" s="98">
        <f>X7</f>
        <v>932</v>
      </c>
      <c r="Y8" s="102">
        <f>IF($E8&lt;=$E$2,$R8*X8,0)</f>
        <v>56.572400000000002</v>
      </c>
      <c r="Z8" s="108">
        <f t="shared" si="0"/>
        <v>282.86199999999997</v>
      </c>
      <c r="AA8" s="79">
        <f t="shared" ref="AA8:AA29" si="2">IFERROR(((Z8^(1/$T8))-1),0)</f>
        <v>1.1915722888310389</v>
      </c>
      <c r="AC8" s="104">
        <f>IF(I8="USD",K8,K8/J8)</f>
        <v>5.1983157456983939E-2</v>
      </c>
      <c r="AD8" s="158">
        <f>AD7</f>
        <v>169.45454545454547</v>
      </c>
      <c r="AE8" s="104">
        <f>IF($E8&lt;=$E$2,$R8*AD8,0)</f>
        <v>10.285890909090911</v>
      </c>
      <c r="AF8" s="108">
        <f t="shared" ref="AF8:AF37" si="3">IFERROR(AE8/AC8,0)</f>
        <v>197.86968341818186</v>
      </c>
      <c r="AG8" s="79">
        <f t="shared" ref="AG8:AG29" si="4">IFERROR(((AF8^(1/$T8))-1),0)</f>
        <v>1.0853764957149048</v>
      </c>
      <c r="AI8" s="172" t="str">
        <f t="shared" si="1"/>
        <v>-</v>
      </c>
      <c r="AJ8" s="172" t="str">
        <f t="shared" ref="AJ8:AJ41" si="5">IFERROR(X8/P8,"-")</f>
        <v>-</v>
      </c>
    </row>
    <row r="9" spans="1:40" outlineLevel="1" x14ac:dyDescent="0.35">
      <c r="A9" s="21"/>
      <c r="B9" s="37"/>
      <c r="C9" s="38" t="s">
        <v>67</v>
      </c>
      <c r="D9" s="38"/>
      <c r="E9" s="55">
        <v>43252</v>
      </c>
      <c r="F9" s="80">
        <f>YEAR(E9)</f>
        <v>2018</v>
      </c>
      <c r="G9" s="56" t="s">
        <v>35</v>
      </c>
      <c r="H9" s="56" t="s">
        <v>98</v>
      </c>
      <c r="I9" s="57" t="s">
        <v>37</v>
      </c>
      <c r="J9" s="97">
        <f>SUMIF('3- Support - FX rate'!$A$4:$A$90,'2- Detailed'!E9,'3- Support - FX rate'!$B$4:$B$90)</f>
        <v>3.8473999999999999</v>
      </c>
      <c r="K9" s="100">
        <v>0.2</v>
      </c>
      <c r="L9" s="102">
        <f>IF(I9="USD",K9*$E$3,K9)</f>
        <v>0.2</v>
      </c>
      <c r="M9" s="51">
        <f>L9/$L$7</f>
        <v>0.5</v>
      </c>
      <c r="N9" s="58"/>
      <c r="O9" s="49"/>
      <c r="P9" s="169"/>
      <c r="Q9" s="169"/>
      <c r="R9" s="75">
        <f>5%*(1-0.38)*80%</f>
        <v>2.4800000000000003E-2</v>
      </c>
      <c r="S9" s="59"/>
      <c r="T9" s="116">
        <f>IF(($E$2-$E9)&gt;0,($E$2-$E9)/365,0)</f>
        <v>7.1945205479452055</v>
      </c>
      <c r="U9" s="116">
        <f>T9*L9/IF(G9=$J$49,$L$49,$L$50)</f>
        <v>1.4622577931475787E-2</v>
      </c>
      <c r="V9" s="116">
        <f>T9*L9/($L$49+$L$50)</f>
        <v>7.8137864719398237E-3</v>
      </c>
      <c r="X9" s="98">
        <f>X8</f>
        <v>932</v>
      </c>
      <c r="Y9" s="102">
        <f>IF($E9&lt;=$E$2,$R9*X9,0)</f>
        <v>23.113600000000002</v>
      </c>
      <c r="Z9" s="108">
        <f t="shared" si="0"/>
        <v>115.568</v>
      </c>
      <c r="AA9" s="79">
        <f t="shared" si="2"/>
        <v>0.93518918580974408</v>
      </c>
      <c r="AC9" s="104">
        <f>IF(I9="USD",K9,K9/J9)</f>
        <v>5.1983157456983939E-2</v>
      </c>
      <c r="AD9" s="158">
        <f>AD8</f>
        <v>169.45454545454547</v>
      </c>
      <c r="AE9" s="104">
        <f>IF($E9&lt;=$E$2,$R9*AD9,0)</f>
        <v>4.2024727272727285</v>
      </c>
      <c r="AF9" s="108">
        <f t="shared" si="3"/>
        <v>80.842967854545478</v>
      </c>
      <c r="AG9" s="79">
        <f t="shared" si="4"/>
        <v>0.84141680537576424</v>
      </c>
      <c r="AI9" s="172" t="str">
        <f t="shared" si="1"/>
        <v>-</v>
      </c>
      <c r="AJ9" s="172" t="str">
        <f t="shared" si="5"/>
        <v>-</v>
      </c>
    </row>
    <row r="10" spans="1:40" x14ac:dyDescent="0.35">
      <c r="A10" s="31"/>
      <c r="B10" s="37" t="s">
        <v>108</v>
      </c>
      <c r="C10" s="31"/>
      <c r="D10" s="31"/>
      <c r="E10" s="49"/>
      <c r="F10" s="49"/>
      <c r="G10" s="49"/>
      <c r="H10" s="49"/>
      <c r="I10" s="49"/>
      <c r="J10" s="49"/>
      <c r="K10" s="99"/>
      <c r="L10" s="103">
        <f>L11+L12+L13</f>
        <v>26.4</v>
      </c>
      <c r="M10" s="49"/>
      <c r="N10" s="62"/>
      <c r="O10" s="166">
        <v>0.42161955299210518</v>
      </c>
      <c r="P10" s="168">
        <v>661.19999999999993</v>
      </c>
      <c r="Q10" s="168">
        <v>50</v>
      </c>
      <c r="R10" s="63">
        <f>R11+R12+R13</f>
        <v>2.2076165727813381E-2</v>
      </c>
      <c r="S10" s="64"/>
      <c r="T10" s="114">
        <f>SUMPRODUCT(T11:T13,$M$11:$M$13)</f>
        <v>5.1414954337899541</v>
      </c>
      <c r="U10" s="115"/>
      <c r="V10" s="115"/>
      <c r="X10" s="160">
        <f>288.8*E3</f>
        <v>1588.4</v>
      </c>
      <c r="Y10" s="103">
        <f>Y11+Y12+Y13</f>
        <v>35.065781642058774</v>
      </c>
      <c r="Z10" s="109">
        <f t="shared" ref="Z10:Z16" si="6">IFERROR(Y10/L10,0)</f>
        <v>1.3282493046234385</v>
      </c>
      <c r="AA10" s="83">
        <f t="shared" ref="AA10:AA16" si="7">IFERROR(((Z10^(1/$T10))-1),0)</f>
        <v>5.6762470379458474E-2</v>
      </c>
      <c r="AC10" s="111">
        <f>AC11+AC12+AC13</f>
        <v>4.8</v>
      </c>
      <c r="AD10" s="111">
        <f>X10/$E$3</f>
        <v>288.8</v>
      </c>
      <c r="AE10" s="111">
        <f>AE11+AE12+AE13</f>
        <v>6.3755966621925051</v>
      </c>
      <c r="AF10" s="109">
        <f t="shared" ref="AF10:AF16" si="8">IFERROR(AE10/AC10,0)</f>
        <v>1.3282493046234387</v>
      </c>
      <c r="AG10" s="83">
        <f t="shared" ref="AG10:AG16" si="9">IFERROR(((AF10^(1/$T10))-1),0)</f>
        <v>5.6762470379458474E-2</v>
      </c>
      <c r="AI10" s="172">
        <f t="shared" si="1"/>
        <v>31.768000000000001</v>
      </c>
      <c r="AJ10" s="172">
        <f t="shared" si="5"/>
        <v>2.4022988505747129</v>
      </c>
    </row>
    <row r="11" spans="1:40" outlineLevel="1" x14ac:dyDescent="0.35">
      <c r="A11" s="21"/>
      <c r="B11" s="21"/>
      <c r="C11" s="38" t="s">
        <v>2</v>
      </c>
      <c r="D11" s="38"/>
      <c r="E11" s="55">
        <v>43617</v>
      </c>
      <c r="F11" s="80">
        <f t="shared" ref="F11:F13" si="10">YEAR(E11)</f>
        <v>2019</v>
      </c>
      <c r="G11" s="56" t="s">
        <v>35</v>
      </c>
      <c r="H11" s="56" t="s">
        <v>98</v>
      </c>
      <c r="I11" s="57" t="s">
        <v>38</v>
      </c>
      <c r="J11" s="97">
        <f>SUMIF('3- Support - FX rate'!$A$4:$A$90,'2- Detailed'!E11,'3- Support - FX rate'!$B$4:$B$90)</f>
        <v>3.8326500000000001</v>
      </c>
      <c r="K11" s="100">
        <v>1.5</v>
      </c>
      <c r="L11" s="102">
        <f>IF(I11="USD",K11*$E$3,K11)</f>
        <v>8.25</v>
      </c>
      <c r="M11" s="51">
        <f>L11/$L$10</f>
        <v>0.3125</v>
      </c>
      <c r="N11" s="58"/>
      <c r="O11" s="49"/>
      <c r="P11" s="169"/>
      <c r="Q11" s="169"/>
      <c r="R11" s="65">
        <v>1.0747988308610183E-2</v>
      </c>
      <c r="S11" s="59"/>
      <c r="T11" s="116">
        <f>IF(($E$2-$E11)&gt;0,($E$2-$E11)/365,0)</f>
        <v>6.1945205479452055</v>
      </c>
      <c r="U11" s="116">
        <f>T11*L11/IF(G11=$J$49,$L$49,$L$50)</f>
        <v>0.51934234920087718</v>
      </c>
      <c r="V11" s="116">
        <f>T11*L11/($L$49+$L$50)</f>
        <v>0.27751811216243627</v>
      </c>
      <c r="X11" s="98">
        <f>X10</f>
        <v>1588.4</v>
      </c>
      <c r="Y11" s="102">
        <f>IF($E11&lt;=$E$2,$R11*X11,0)</f>
        <v>17.072104629396414</v>
      </c>
      <c r="Z11" s="108">
        <f t="shared" si="6"/>
        <v>2.0693460156844137</v>
      </c>
      <c r="AA11" s="79">
        <f t="shared" si="7"/>
        <v>0.12456842500016618</v>
      </c>
      <c r="AC11" s="104">
        <f>IF(I11="USD",K11,K11/J11)</f>
        <v>1.5</v>
      </c>
      <c r="AD11" s="158">
        <f>AD10</f>
        <v>288.8</v>
      </c>
      <c r="AE11" s="104">
        <f>IF($E11&lt;=$E$2,$R11*AD11,0)</f>
        <v>3.1040190235266207</v>
      </c>
      <c r="AF11" s="108">
        <f t="shared" si="8"/>
        <v>2.0693460156844137</v>
      </c>
      <c r="AG11" s="79">
        <f t="shared" si="9"/>
        <v>0.12456842500016618</v>
      </c>
      <c r="AI11" s="172" t="str">
        <f t="shared" si="1"/>
        <v>-</v>
      </c>
      <c r="AJ11" s="172" t="str">
        <f t="shared" si="5"/>
        <v>-</v>
      </c>
    </row>
    <row r="12" spans="1:40" outlineLevel="1" x14ac:dyDescent="0.35">
      <c r="A12" s="21"/>
      <c r="B12" s="21"/>
      <c r="C12" s="38" t="s">
        <v>3</v>
      </c>
      <c r="D12" s="38"/>
      <c r="E12" s="55">
        <v>43770</v>
      </c>
      <c r="F12" s="80">
        <f t="shared" si="10"/>
        <v>2019</v>
      </c>
      <c r="G12" s="56" t="s">
        <v>35</v>
      </c>
      <c r="H12" s="56" t="s">
        <v>98</v>
      </c>
      <c r="I12" s="57" t="s">
        <v>38</v>
      </c>
      <c r="J12" s="97">
        <f>SUMIF('3- Support - FX rate'!$A$4:$A$90,'2- Detailed'!E12,'3- Support - FX rate'!$B$4:$B$90)</f>
        <v>4.2282999999999999</v>
      </c>
      <c r="K12" s="100">
        <v>1.3</v>
      </c>
      <c r="L12" s="102">
        <f>IF(I12="USD",K12*$E$3,K12)</f>
        <v>7.15</v>
      </c>
      <c r="M12" s="51">
        <f>L12/$L$10</f>
        <v>0.27083333333333337</v>
      </c>
      <c r="N12" s="58"/>
      <c r="O12" s="49"/>
      <c r="P12" s="169"/>
      <c r="Q12" s="169"/>
      <c r="R12" s="65">
        <v>6.8158223700878337E-3</v>
      </c>
      <c r="S12" s="59"/>
      <c r="T12" s="116">
        <f>IF(($E$2-$E12)&gt;0,($E$2-$E12)/365,0)</f>
        <v>5.7753424657534245</v>
      </c>
      <c r="U12" s="116">
        <f>T12*L12/IF(G12=$J$49,$L$49,$L$50)</f>
        <v>0.41963903103349076</v>
      </c>
      <c r="V12" s="116">
        <f>T12*L12/($L$49+$L$50)</f>
        <v>0.22424019890017405</v>
      </c>
      <c r="X12" s="98">
        <f>X11</f>
        <v>1588.4</v>
      </c>
      <c r="Y12" s="102">
        <f>IF($E12&lt;=$E$2,$R12*X12,0)</f>
        <v>10.826252252647516</v>
      </c>
      <c r="Z12" s="108">
        <f t="shared" si="6"/>
        <v>1.5141611542164357</v>
      </c>
      <c r="AA12" s="79">
        <f t="shared" si="7"/>
        <v>7.4476155174266978E-2</v>
      </c>
      <c r="AC12" s="104">
        <f>IF(I12="USD",K12,K12/J12)</f>
        <v>1.3</v>
      </c>
      <c r="AD12" s="158">
        <f>AD11</f>
        <v>288.8</v>
      </c>
      <c r="AE12" s="104">
        <f>IF($E12&lt;=$E$2,$R12*AD12,0)</f>
        <v>1.9684095004813664</v>
      </c>
      <c r="AF12" s="108">
        <f t="shared" si="8"/>
        <v>1.5141611542164357</v>
      </c>
      <c r="AG12" s="79">
        <f t="shared" si="9"/>
        <v>7.4476155174266978E-2</v>
      </c>
      <c r="AI12" s="172" t="str">
        <f t="shared" si="1"/>
        <v>-</v>
      </c>
      <c r="AJ12" s="172" t="str">
        <f t="shared" si="5"/>
        <v>-</v>
      </c>
    </row>
    <row r="13" spans="1:40" outlineLevel="1" x14ac:dyDescent="0.35">
      <c r="A13" s="21"/>
      <c r="B13" s="21"/>
      <c r="C13" s="38" t="s">
        <v>68</v>
      </c>
      <c r="D13" s="38"/>
      <c r="E13" s="55">
        <v>44440</v>
      </c>
      <c r="F13" s="80">
        <f t="shared" si="10"/>
        <v>2021</v>
      </c>
      <c r="G13" s="56" t="s">
        <v>35</v>
      </c>
      <c r="H13" s="56" t="s">
        <v>98</v>
      </c>
      <c r="I13" s="57" t="s">
        <v>38</v>
      </c>
      <c r="J13" s="97">
        <f>SUMIF('3- Support - FX rate'!$A$4:$A$90,'2- Detailed'!E13,'3- Support - FX rate'!$B$4:$B$90)</f>
        <v>5.4489000000000001</v>
      </c>
      <c r="K13" s="100">
        <v>2</v>
      </c>
      <c r="L13" s="102">
        <f>IF(I13="USD",K13*$E$3,K13)</f>
        <v>11</v>
      </c>
      <c r="M13" s="51">
        <f>L13/$L$10</f>
        <v>0.41666666666666669</v>
      </c>
      <c r="N13" s="58"/>
      <c r="O13" s="49"/>
      <c r="P13" s="169"/>
      <c r="Q13" s="169"/>
      <c r="R13" s="65">
        <v>4.5123550491153654E-3</v>
      </c>
      <c r="S13" s="59"/>
      <c r="T13" s="116">
        <f>IF(($E$2-$E13)&gt;0,($E$2-$E13)/365,0)</f>
        <v>3.9397260273972603</v>
      </c>
      <c r="U13" s="116">
        <f>T13*L13/IF(G13=$J$49,$L$49,$L$50)</f>
        <v>0.44040353716695346</v>
      </c>
      <c r="V13" s="116">
        <f>T13*L13/($L$49+$L$50)</f>
        <v>0.23533601373409013</v>
      </c>
      <c r="X13" s="98">
        <f>X12</f>
        <v>1588.4</v>
      </c>
      <c r="Y13" s="102">
        <f>IF($E13&lt;=$E$2,$R13*X13,0)</f>
        <v>7.1674247600148471</v>
      </c>
      <c r="Z13" s="108">
        <f t="shared" si="6"/>
        <v>0.65158406909225886</v>
      </c>
      <c r="AA13" s="79">
        <f t="shared" si="7"/>
        <v>-0.10302343475276565</v>
      </c>
      <c r="AC13" s="104">
        <f>IF(I13="USD",K13,K13/J13)</f>
        <v>2</v>
      </c>
      <c r="AD13" s="158">
        <f>AD12</f>
        <v>288.8</v>
      </c>
      <c r="AE13" s="104">
        <f>IF($E13&lt;=$E$2,$R13*AD13,0)</f>
        <v>1.3031681381845175</v>
      </c>
      <c r="AF13" s="108">
        <f t="shared" si="8"/>
        <v>0.65158406909225874</v>
      </c>
      <c r="AG13" s="79">
        <f t="shared" si="9"/>
        <v>-0.10302343475276565</v>
      </c>
      <c r="AI13" s="172" t="str">
        <f t="shared" si="1"/>
        <v>-</v>
      </c>
      <c r="AJ13" s="172" t="str">
        <f t="shared" si="5"/>
        <v>-</v>
      </c>
    </row>
    <row r="14" spans="1:40" x14ac:dyDescent="0.35">
      <c r="A14" s="37"/>
      <c r="B14" s="35" t="s">
        <v>24</v>
      </c>
      <c r="C14" s="37"/>
      <c r="D14" s="35"/>
      <c r="E14" s="49"/>
      <c r="F14" s="49"/>
      <c r="G14" s="49"/>
      <c r="H14" s="49"/>
      <c r="I14" s="49"/>
      <c r="J14" s="49"/>
      <c r="K14" s="99"/>
      <c r="L14" s="101">
        <f>L15+L16</f>
        <v>0.73314999999999997</v>
      </c>
      <c r="M14" s="49"/>
      <c r="N14" s="62"/>
      <c r="O14" s="51">
        <v>1.07</v>
      </c>
      <c r="P14" s="168">
        <v>65</v>
      </c>
      <c r="Q14" s="168">
        <v>5</v>
      </c>
      <c r="R14" s="63">
        <f>R15+R16</f>
        <v>1.55E-2</v>
      </c>
      <c r="S14" s="64"/>
      <c r="T14" s="114">
        <f>SUMPRODUCT(T15:T16,$M$15:$M$16)</f>
        <v>5.1487241673432056</v>
      </c>
      <c r="U14" s="115"/>
      <c r="V14" s="115"/>
      <c r="X14" s="159">
        <v>150</v>
      </c>
      <c r="Y14" s="101">
        <f>Y15+Y16</f>
        <v>2.3249999999999997</v>
      </c>
      <c r="Z14" s="107">
        <f t="shared" si="6"/>
        <v>3.1712473572938689</v>
      </c>
      <c r="AA14" s="83">
        <f t="shared" si="7"/>
        <v>0.25126804486535415</v>
      </c>
      <c r="AC14" s="110">
        <f>AC15+AC16</f>
        <v>0.1333</v>
      </c>
      <c r="AD14" s="111">
        <f>X14/$E$3</f>
        <v>27.272727272727273</v>
      </c>
      <c r="AE14" s="110">
        <f>AE15+AE16</f>
        <v>0.42272727272727273</v>
      </c>
      <c r="AF14" s="107">
        <f t="shared" si="8"/>
        <v>3.1712473572938689</v>
      </c>
      <c r="AG14" s="83">
        <f t="shared" si="9"/>
        <v>0.25126804486535415</v>
      </c>
      <c r="AI14" s="172">
        <f t="shared" si="1"/>
        <v>30</v>
      </c>
      <c r="AJ14" s="172">
        <f t="shared" si="5"/>
        <v>2.3076923076923075</v>
      </c>
    </row>
    <row r="15" spans="1:40" outlineLevel="1" x14ac:dyDescent="0.35">
      <c r="A15" s="21"/>
      <c r="B15" s="21"/>
      <c r="C15" s="38" t="s">
        <v>4</v>
      </c>
      <c r="D15" s="38"/>
      <c r="E15" s="55">
        <v>43770</v>
      </c>
      <c r="F15" s="80">
        <f t="shared" ref="F15:F16" si="11">YEAR(E15)</f>
        <v>2019</v>
      </c>
      <c r="G15" s="56" t="s">
        <v>35</v>
      </c>
      <c r="H15" s="56" t="s">
        <v>98</v>
      </c>
      <c r="I15" s="57" t="s">
        <v>38</v>
      </c>
      <c r="J15" s="97">
        <f>SUMIF('3- Support - FX rate'!$A$4:$A$90,'2- Detailed'!E15,'3- Support - FX rate'!$B$4:$B$90)</f>
        <v>4.2282999999999999</v>
      </c>
      <c r="K15" s="100">
        <v>0.05</v>
      </c>
      <c r="L15" s="102">
        <f>IF(I15="USD",K15*$E$3,K15)</f>
        <v>0.27500000000000002</v>
      </c>
      <c r="M15" s="51">
        <f>L15/$L$14</f>
        <v>0.37509377344336087</v>
      </c>
      <c r="N15" s="58"/>
      <c r="O15" s="49"/>
      <c r="P15" s="169"/>
      <c r="Q15" s="169"/>
      <c r="R15" s="65">
        <v>1.24E-2</v>
      </c>
      <c r="S15" s="59"/>
      <c r="T15" s="116">
        <f>IF(($E$2-$E15)&gt;0,($E$2-$E15)/365,0)</f>
        <v>5.7753424657534245</v>
      </c>
      <c r="U15" s="116">
        <f>T15*L15/IF(G15=$J$49,$L$49,$L$50)</f>
        <v>1.6139962732057339E-2</v>
      </c>
      <c r="V15" s="116">
        <f>T15*L15/($L$49+$L$50)</f>
        <v>8.6246230346220792E-3</v>
      </c>
      <c r="X15" s="98">
        <f t="shared" ref="X15:X16" si="12">X14</f>
        <v>150</v>
      </c>
      <c r="Y15" s="102">
        <f>IF($E15&lt;=$E$2,$R15*X15,0)</f>
        <v>1.8599999999999999</v>
      </c>
      <c r="Z15" s="108">
        <f t="shared" si="6"/>
        <v>6.7636363636363628</v>
      </c>
      <c r="AA15" s="79">
        <f t="shared" si="7"/>
        <v>0.39234106308121564</v>
      </c>
      <c r="AC15" s="104">
        <f>IF(I15="USD",K15,K15/J15)</f>
        <v>0.05</v>
      </c>
      <c r="AD15" s="158">
        <f t="shared" ref="AD15:AD16" si="13">AD14</f>
        <v>27.272727272727273</v>
      </c>
      <c r="AE15" s="104">
        <f>IF($E15&lt;=$E$2,$R15*AD15,0)</f>
        <v>0.33818181818181819</v>
      </c>
      <c r="AF15" s="108">
        <f t="shared" si="8"/>
        <v>6.7636363636363637</v>
      </c>
      <c r="AG15" s="79">
        <f t="shared" si="9"/>
        <v>0.39234106308121586</v>
      </c>
      <c r="AI15" s="172" t="str">
        <f t="shared" si="1"/>
        <v>-</v>
      </c>
      <c r="AJ15" s="172" t="str">
        <f t="shared" si="5"/>
        <v>-</v>
      </c>
    </row>
    <row r="16" spans="1:40" outlineLevel="1" x14ac:dyDescent="0.35">
      <c r="A16" s="21"/>
      <c r="B16" s="21"/>
      <c r="C16" s="38" t="s">
        <v>6</v>
      </c>
      <c r="D16" s="38"/>
      <c r="E16" s="55">
        <v>44136</v>
      </c>
      <c r="F16" s="80">
        <f t="shared" si="11"/>
        <v>2020</v>
      </c>
      <c r="G16" s="56" t="s">
        <v>35</v>
      </c>
      <c r="H16" s="56" t="s">
        <v>98</v>
      </c>
      <c r="I16" s="57" t="s">
        <v>38</v>
      </c>
      <c r="J16" s="97">
        <f>SUMIF('3- Support - FX rate'!$A$4:$A$90,'2- Detailed'!E16,'3- Support - FX rate'!$B$4:$B$90)</f>
        <v>5.3861499999999998</v>
      </c>
      <c r="K16" s="100">
        <v>8.3299999999999999E-2</v>
      </c>
      <c r="L16" s="102">
        <f>IF(I16="USD",K16*$E$3,K16)</f>
        <v>0.45815</v>
      </c>
      <c r="M16" s="51">
        <f>L16/$L$14</f>
        <v>0.62490622655663919</v>
      </c>
      <c r="N16" s="58"/>
      <c r="O16" s="49"/>
      <c r="P16" s="169"/>
      <c r="Q16" s="169"/>
      <c r="R16" s="65">
        <v>3.0999999999999999E-3</v>
      </c>
      <c r="S16" s="59"/>
      <c r="T16" s="116">
        <f>IF(($E$2-$E16)&gt;0,($E$2-$E16)/365,0)</f>
        <v>4.7726027397260271</v>
      </c>
      <c r="U16" s="116">
        <f>T16*L16/IF(G16=$J$49,$L$49,$L$50)</f>
        <v>2.2220563530370163E-2</v>
      </c>
      <c r="V16" s="116">
        <f>T16*L16/($L$49+$L$50)</f>
        <v>1.1873880209504377E-2</v>
      </c>
      <c r="X16" s="98">
        <f t="shared" si="12"/>
        <v>150</v>
      </c>
      <c r="Y16" s="102">
        <f>IF($E16&lt;=$E$2,$R16*X16,0)</f>
        <v>0.46499999999999997</v>
      </c>
      <c r="Z16" s="108">
        <f t="shared" si="6"/>
        <v>1.0149514351195024</v>
      </c>
      <c r="AA16" s="79">
        <f t="shared" si="7"/>
        <v>3.1144143256613965E-3</v>
      </c>
      <c r="AC16" s="104">
        <f>IF(I16="USD",K16,K16/J16)</f>
        <v>8.3299999999999999E-2</v>
      </c>
      <c r="AD16" s="158">
        <f t="shared" si="13"/>
        <v>27.272727272727273</v>
      </c>
      <c r="AE16" s="104">
        <f>IF($E16&lt;=$E$2,$R16*AD16,0)</f>
        <v>8.4545454545454549E-2</v>
      </c>
      <c r="AF16" s="108">
        <f t="shared" si="8"/>
        <v>1.0149514351195024</v>
      </c>
      <c r="AG16" s="79">
        <f t="shared" si="9"/>
        <v>3.1144143256613965E-3</v>
      </c>
      <c r="AI16" s="172" t="str">
        <f t="shared" si="1"/>
        <v>-</v>
      </c>
      <c r="AJ16" s="172" t="str">
        <f t="shared" si="5"/>
        <v>-</v>
      </c>
    </row>
    <row r="17" spans="1:40" x14ac:dyDescent="0.35">
      <c r="A17" s="37"/>
      <c r="B17" s="37" t="s">
        <v>25</v>
      </c>
      <c r="C17" s="35"/>
      <c r="D17" s="35"/>
      <c r="E17" s="49"/>
      <c r="F17" s="49"/>
      <c r="G17" s="49"/>
      <c r="H17" s="49"/>
      <c r="I17" s="49"/>
      <c r="J17" s="49"/>
      <c r="K17" s="99"/>
      <c r="L17" s="101">
        <f>L18</f>
        <v>0.2</v>
      </c>
      <c r="M17" s="49"/>
      <c r="N17" s="58"/>
      <c r="O17" s="51">
        <v>0.89</v>
      </c>
      <c r="P17" s="168">
        <v>475.65000000000003</v>
      </c>
      <c r="Q17" s="168">
        <v>70.331999999999994</v>
      </c>
      <c r="R17" s="53">
        <f>R18</f>
        <v>0.3</v>
      </c>
      <c r="S17" s="54"/>
      <c r="T17" s="114">
        <f>SUMPRODUCT(T18,$M$18)</f>
        <v>5.2638888888888893</v>
      </c>
      <c r="U17" s="115"/>
      <c r="V17" s="115"/>
      <c r="X17" s="159">
        <v>462.65599999999995</v>
      </c>
      <c r="Y17" s="101">
        <f>Y18</f>
        <v>138.79679999999999</v>
      </c>
      <c r="Z17" s="107">
        <f t="shared" si="0"/>
        <v>693.98399999999992</v>
      </c>
      <c r="AA17" s="83">
        <f t="shared" si="2"/>
        <v>2.4656238788845961</v>
      </c>
      <c r="AC17" s="110">
        <f>AC18</f>
        <v>3.6424564726451523E-2</v>
      </c>
      <c r="AD17" s="111">
        <f>X17/$E$3</f>
        <v>84.119272727272715</v>
      </c>
      <c r="AE17" s="110">
        <f>AE18</f>
        <v>25.235781818181813</v>
      </c>
      <c r="AF17" s="107">
        <f t="shared" si="3"/>
        <v>692.82315403636346</v>
      </c>
      <c r="AG17" s="83">
        <f t="shared" si="4"/>
        <v>2.4645218467119223</v>
      </c>
      <c r="AI17" s="172">
        <f t="shared" si="1"/>
        <v>6.5781720980492517</v>
      </c>
      <c r="AJ17" s="172">
        <f t="shared" si="5"/>
        <v>0.97268159360874573</v>
      </c>
    </row>
    <row r="18" spans="1:40" outlineLevel="1" x14ac:dyDescent="0.35">
      <c r="A18" s="21"/>
      <c r="B18" s="21"/>
      <c r="C18" s="38" t="s">
        <v>25</v>
      </c>
      <c r="D18" s="38"/>
      <c r="E18" s="55">
        <v>43983</v>
      </c>
      <c r="F18" s="80">
        <f>YEAR(E18)</f>
        <v>2020</v>
      </c>
      <c r="G18" s="56" t="s">
        <v>35</v>
      </c>
      <c r="H18" s="56" t="s">
        <v>98</v>
      </c>
      <c r="I18" s="57" t="s">
        <v>37</v>
      </c>
      <c r="J18" s="97">
        <f>SUMIF('3- Support - FX rate'!$A$4:$A$90,'2- Detailed'!E18,'3- Support - FX rate'!$B$4:$B$90)</f>
        <v>5.4908000000000001</v>
      </c>
      <c r="K18" s="100">
        <v>0.2</v>
      </c>
      <c r="L18" s="102">
        <f>IF(I18="USD",K18*$E$3,K18)</f>
        <v>0.2</v>
      </c>
      <c r="M18" s="51">
        <f>L18/$L$17</f>
        <v>1</v>
      </c>
      <c r="N18" s="58"/>
      <c r="O18" s="49"/>
      <c r="P18" s="169"/>
      <c r="Q18" s="169"/>
      <c r="R18" s="75">
        <v>0.3</v>
      </c>
      <c r="S18" s="59"/>
      <c r="T18" s="116">
        <f>IF(($E$2-$E18)&gt;0,($E$2-$E18)/360,0)</f>
        <v>5.2638888888888893</v>
      </c>
      <c r="U18" s="116">
        <f>T18*L18/IF(G18=$J$49,$L$49,$L$50)</f>
        <v>1.0698645585547849E-2</v>
      </c>
      <c r="V18" s="116">
        <f>T18*L18/($L$49+$L$50)</f>
        <v>5.71697634549693E-3</v>
      </c>
      <c r="X18" s="98">
        <f>X17</f>
        <v>462.65599999999995</v>
      </c>
      <c r="Y18" s="102">
        <f>IF($E18&lt;=$E$2,$R18*X18,0)</f>
        <v>138.79679999999999</v>
      </c>
      <c r="Z18" s="108">
        <f t="shared" si="0"/>
        <v>693.98399999999992</v>
      </c>
      <c r="AA18" s="79">
        <f t="shared" si="2"/>
        <v>2.4656238788845961</v>
      </c>
      <c r="AC18" s="104">
        <f>IF(I18="USD",K18,K18/J18)</f>
        <v>3.6424564726451523E-2</v>
      </c>
      <c r="AD18" s="158">
        <f>AD17</f>
        <v>84.119272727272715</v>
      </c>
      <c r="AE18" s="104">
        <f>IF($E18&lt;=$E$2,$R18*AD18,0)</f>
        <v>25.235781818181813</v>
      </c>
      <c r="AF18" s="108">
        <f t="shared" si="3"/>
        <v>692.82315403636346</v>
      </c>
      <c r="AG18" s="79">
        <f t="shared" si="4"/>
        <v>2.4645218467119223</v>
      </c>
      <c r="AI18" s="172" t="str">
        <f t="shared" si="1"/>
        <v>-</v>
      </c>
      <c r="AJ18" s="172" t="str">
        <f t="shared" si="5"/>
        <v>-</v>
      </c>
    </row>
    <row r="19" spans="1:40" x14ac:dyDescent="0.35">
      <c r="A19" s="37"/>
      <c r="B19" s="37" t="s">
        <v>5</v>
      </c>
      <c r="C19" s="35"/>
      <c r="D19" s="35"/>
      <c r="E19" s="49"/>
      <c r="F19" s="49"/>
      <c r="G19" s="49"/>
      <c r="H19" s="49"/>
      <c r="I19" s="49"/>
      <c r="J19" s="49"/>
      <c r="K19" s="99"/>
      <c r="L19" s="103">
        <f>L20+L21+L23+L22</f>
        <v>53.469629095000002</v>
      </c>
      <c r="M19" s="49"/>
      <c r="N19" s="62"/>
      <c r="O19" s="51">
        <v>0.64995818887867851</v>
      </c>
      <c r="P19" s="168">
        <v>450</v>
      </c>
      <c r="Q19" s="168">
        <v>60</v>
      </c>
      <c r="R19" s="63">
        <f>R20+R21+R23+R22</f>
        <v>0.37833039375241417</v>
      </c>
      <c r="S19" s="64"/>
      <c r="T19" s="114">
        <f>SUMPRODUCT(T20:T23,$M$20:$M$23)</f>
        <v>3.1664918078722959</v>
      </c>
      <c r="U19" s="115"/>
      <c r="V19" s="115"/>
      <c r="X19" s="161">
        <f>950*1+563.924914675768*0</f>
        <v>950</v>
      </c>
      <c r="Y19" s="103">
        <f>Y20+Y21+Y23+Y22</f>
        <v>359.41387406479345</v>
      </c>
      <c r="Z19" s="109">
        <f t="shared" si="0"/>
        <v>6.7218321904986356</v>
      </c>
      <c r="AA19" s="83">
        <f t="shared" si="2"/>
        <v>0.82526667480024662</v>
      </c>
      <c r="AC19" s="111">
        <f>AC20+AC21+AC23+AC22</f>
        <v>9.9644002072860225</v>
      </c>
      <c r="AD19" s="111">
        <f>X19/$E$3</f>
        <v>172.72727272727272</v>
      </c>
      <c r="AE19" s="111">
        <f>AE20+AE21+AE23+AE22</f>
        <v>65.347977102689725</v>
      </c>
      <c r="AF19" s="109">
        <f t="shared" si="3"/>
        <v>6.558144568993419</v>
      </c>
      <c r="AG19" s="83">
        <f t="shared" si="4"/>
        <v>0.81111105319405619</v>
      </c>
      <c r="AI19" s="172">
        <f t="shared" si="1"/>
        <v>15.833333333333334</v>
      </c>
      <c r="AJ19" s="172">
        <f t="shared" si="5"/>
        <v>2.1111111111111112</v>
      </c>
    </row>
    <row r="20" spans="1:40" outlineLevel="1" x14ac:dyDescent="0.35">
      <c r="A20" s="21"/>
      <c r="B20" s="21"/>
      <c r="C20" s="38" t="s">
        <v>9</v>
      </c>
      <c r="D20" s="38"/>
      <c r="E20" s="55">
        <v>44136</v>
      </c>
      <c r="F20" s="80">
        <f t="shared" ref="F20:F23" si="14">YEAR(E20)</f>
        <v>2020</v>
      </c>
      <c r="G20" s="56" t="s">
        <v>35</v>
      </c>
      <c r="H20" s="56" t="s">
        <v>98</v>
      </c>
      <c r="I20" s="57" t="s">
        <v>38</v>
      </c>
      <c r="J20" s="97">
        <f>SUMIF('3- Support - FX rate'!$A$4:$A$90,'2- Detailed'!E20,'3- Support - FX rate'!$B$4:$B$90)</f>
        <v>5.3861499999999998</v>
      </c>
      <c r="K20" s="100">
        <v>2.89929879</v>
      </c>
      <c r="L20" s="102">
        <f>IF(I20="USD",K20*$E$3,K20)</f>
        <v>15.946143344999999</v>
      </c>
      <c r="M20" s="51">
        <f>L20/$L$19</f>
        <v>0.29822805235226774</v>
      </c>
      <c r="N20" s="58"/>
      <c r="O20" s="49"/>
      <c r="P20" s="169"/>
      <c r="Q20" s="169"/>
      <c r="R20" s="65">
        <v>0.18679528403001072</v>
      </c>
      <c r="S20" s="59"/>
      <c r="T20" s="116">
        <f>IF(($E$2-$E20)&gt;0,($E$2-$E20)/365,0)</f>
        <v>4.7726027397260271</v>
      </c>
      <c r="U20" s="116">
        <f>T20*L20/IF(G20=$J$49,$L$49,$L$50)</f>
        <v>0.77339799467851544</v>
      </c>
      <c r="V20" s="116">
        <f>T20*L20/($L$49+$L$50)</f>
        <v>0.41327642885979576</v>
      </c>
      <c r="X20" s="98">
        <f>X19</f>
        <v>950</v>
      </c>
      <c r="Y20" s="102">
        <f>IF($E20&lt;=$E$2,$R20*X20,0)</f>
        <v>177.45551982851018</v>
      </c>
      <c r="Z20" s="108">
        <f t="shared" si="0"/>
        <v>11.128428735977238</v>
      </c>
      <c r="AA20" s="79">
        <f t="shared" si="2"/>
        <v>0.65675590620783231</v>
      </c>
      <c r="AC20" s="104">
        <f>IF(I20="USD",K20,K20/J20)</f>
        <v>2.89929879</v>
      </c>
      <c r="AD20" s="158">
        <f>AD19</f>
        <v>172.72727272727272</v>
      </c>
      <c r="AE20" s="104">
        <f>IF($E20&lt;=$E$2,$R20*AD20,0)</f>
        <v>32.264639968820035</v>
      </c>
      <c r="AF20" s="108">
        <f t="shared" si="3"/>
        <v>11.128428735977238</v>
      </c>
      <c r="AG20" s="79">
        <f t="shared" si="4"/>
        <v>0.65675590620783231</v>
      </c>
      <c r="AI20" s="172" t="str">
        <f t="shared" si="1"/>
        <v>-</v>
      </c>
      <c r="AJ20" s="172" t="str">
        <f t="shared" si="5"/>
        <v>-</v>
      </c>
    </row>
    <row r="21" spans="1:40" outlineLevel="1" x14ac:dyDescent="0.35">
      <c r="A21" s="21"/>
      <c r="B21" s="21"/>
      <c r="C21" s="38" t="s">
        <v>7</v>
      </c>
      <c r="D21" s="38"/>
      <c r="E21" s="55">
        <v>44531</v>
      </c>
      <c r="F21" s="80">
        <f t="shared" si="14"/>
        <v>2021</v>
      </c>
      <c r="G21" s="56" t="s">
        <v>35</v>
      </c>
      <c r="H21" s="56" t="s">
        <v>98</v>
      </c>
      <c r="I21" s="57" t="s">
        <v>38</v>
      </c>
      <c r="J21" s="97">
        <f>SUMIF('3- Support - FX rate'!$A$4:$A$90,'2- Detailed'!E21,'3- Support - FX rate'!$B$4:$B$90)</f>
        <v>5.57</v>
      </c>
      <c r="K21" s="100">
        <v>2.3679065000000001</v>
      </c>
      <c r="L21" s="102">
        <f>IF(I21="USD",K21*$E$3,K21)</f>
        <v>13.023485750000001</v>
      </c>
      <c r="M21" s="51">
        <f>L21/$L$19</f>
        <v>0.24356790893127478</v>
      </c>
      <c r="N21" s="58"/>
      <c r="O21" s="49"/>
      <c r="P21" s="169"/>
      <c r="Q21" s="169"/>
      <c r="R21" s="65">
        <v>6.2515183994283671E-2</v>
      </c>
      <c r="S21" s="59"/>
      <c r="T21" s="116">
        <f>IF(($E$2-$E21)&gt;0,($E$2-$E21)/365,0)</f>
        <v>3.6904109589041094</v>
      </c>
      <c r="U21" s="116">
        <f>T21*L21/IF(G21=$J$49,$L$49,$L$50)</f>
        <v>0.48842070044645208</v>
      </c>
      <c r="V21" s="116">
        <f>T21*L21/($L$49+$L$50)</f>
        <v>0.26099468094123457</v>
      </c>
      <c r="X21" s="98">
        <f>X20</f>
        <v>950</v>
      </c>
      <c r="Y21" s="102">
        <f>IF($E21&lt;=$E$2,$R21*X21,0)</f>
        <v>59.389424794569486</v>
      </c>
      <c r="Z21" s="108">
        <f t="shared" si="0"/>
        <v>4.5601788902459912</v>
      </c>
      <c r="AA21" s="79">
        <f t="shared" si="2"/>
        <v>0.50857181082002811</v>
      </c>
      <c r="AC21" s="104">
        <f>IF(I21="USD",K21,K21/J21)</f>
        <v>2.3679065000000001</v>
      </c>
      <c r="AD21" s="158">
        <f>AD20</f>
        <v>172.72727272727272</v>
      </c>
      <c r="AE21" s="104">
        <f>IF($E21&lt;=$E$2,$R21*AD21,0)</f>
        <v>10.798077235376271</v>
      </c>
      <c r="AF21" s="108">
        <f t="shared" si="3"/>
        <v>4.5601788902459912</v>
      </c>
      <c r="AG21" s="79">
        <f t="shared" si="4"/>
        <v>0.50857181082002811</v>
      </c>
      <c r="AI21" s="172" t="str">
        <f t="shared" si="1"/>
        <v>-</v>
      </c>
      <c r="AJ21" s="172" t="str">
        <f t="shared" si="5"/>
        <v>-</v>
      </c>
    </row>
    <row r="22" spans="1:40" s="193" customFormat="1" outlineLevel="1" x14ac:dyDescent="0.35">
      <c r="A22" s="173"/>
      <c r="B22" s="173"/>
      <c r="C22" s="174" t="s">
        <v>69</v>
      </c>
      <c r="D22" s="174"/>
      <c r="E22" s="175">
        <v>45170</v>
      </c>
      <c r="F22" s="176">
        <f t="shared" si="14"/>
        <v>2023</v>
      </c>
      <c r="G22" s="177" t="s">
        <v>39</v>
      </c>
      <c r="H22" s="177" t="s">
        <v>49</v>
      </c>
      <c r="I22" s="178" t="s">
        <v>37</v>
      </c>
      <c r="J22" s="179">
        <f>SUMIF('3- Support - FX rate'!$A$4:$A$90,'2- Detailed'!E22,'3- Support - FX rate'!$B$4:$B$90)</f>
        <v>5.0052000000000003</v>
      </c>
      <c r="K22" s="180">
        <v>13.5</v>
      </c>
      <c r="L22" s="181">
        <f>IF(I22="USD",K22*$E$3,K22)</f>
        <v>13.5</v>
      </c>
      <c r="M22" s="182">
        <f>L22/$L$19</f>
        <v>0.25247977643559899</v>
      </c>
      <c r="N22" s="183"/>
      <c r="O22" s="184"/>
      <c r="P22" s="185"/>
      <c r="Q22" s="185"/>
      <c r="R22" s="186">
        <v>6.7199999999999996E-2</v>
      </c>
      <c r="S22" s="187"/>
      <c r="T22" s="188">
        <f>IF(($E$2-$E22)&gt;0,($E$2-$E22)/360,0)</f>
        <v>1.9666666666666666</v>
      </c>
      <c r="U22" s="188">
        <f>T22*L22/IF(G22=$J$49,$L$49,$L$50)</f>
        <v>0.30963362936096517</v>
      </c>
      <c r="V22" s="188">
        <f>T22*L22/($L$49+$L$50)</f>
        <v>0.14417641137271675</v>
      </c>
      <c r="W22" s="189"/>
      <c r="X22" s="190">
        <f>X23</f>
        <v>950</v>
      </c>
      <c r="Y22" s="181">
        <f>IF($E22&lt;=$E$2,$R22*X22,0)</f>
        <v>63.839999999999996</v>
      </c>
      <c r="Z22" s="191">
        <f t="shared" si="0"/>
        <v>4.7288888888888883</v>
      </c>
      <c r="AA22" s="192">
        <f t="shared" si="2"/>
        <v>1.203422868326256</v>
      </c>
      <c r="AC22" s="194">
        <f>IF(I22="USD",K22,K22/J22)</f>
        <v>2.6971949172860223</v>
      </c>
      <c r="AD22" s="195">
        <f>AD23</f>
        <v>172.72727272727272</v>
      </c>
      <c r="AE22" s="194">
        <f>IF($E22&lt;=$E$2,$R22*AD22,0)</f>
        <v>11.607272727272726</v>
      </c>
      <c r="AF22" s="191">
        <f t="shared" si="3"/>
        <v>4.303460848484848</v>
      </c>
      <c r="AG22" s="192">
        <f t="shared" si="4"/>
        <v>1.100294842365368</v>
      </c>
      <c r="AI22" s="196" t="str">
        <f t="shared" si="1"/>
        <v>-</v>
      </c>
      <c r="AJ22" s="196" t="str">
        <f t="shared" si="5"/>
        <v>-</v>
      </c>
      <c r="AL22" s="207">
        <v>39.9</v>
      </c>
      <c r="AM22" s="191">
        <f>AL22/L22</f>
        <v>2.9555555555555553</v>
      </c>
      <c r="AN22" s="208">
        <f>IFERROR(((AM22^(1/$T22))-1),0)</f>
        <v>0.73503416404528576</v>
      </c>
    </row>
    <row r="23" spans="1:40" outlineLevel="1" x14ac:dyDescent="0.35">
      <c r="A23" s="21"/>
      <c r="B23" s="21"/>
      <c r="C23" s="38" t="s">
        <v>70</v>
      </c>
      <c r="D23" s="38"/>
      <c r="E23" s="55">
        <v>45261</v>
      </c>
      <c r="F23" s="80">
        <f t="shared" si="14"/>
        <v>2023</v>
      </c>
      <c r="G23" s="56" t="s">
        <v>39</v>
      </c>
      <c r="H23" s="56" t="s">
        <v>98</v>
      </c>
      <c r="I23" s="57" t="s">
        <v>38</v>
      </c>
      <c r="J23" s="97">
        <f>SUMIF('3- Support - FX rate'!$A$4:$A$90,'2- Detailed'!E23,'3- Support - FX rate'!$B$4:$B$90)</f>
        <v>4.8575999999999997</v>
      </c>
      <c r="K23" s="100">
        <v>2</v>
      </c>
      <c r="L23" s="102">
        <f>IF(I23="USD",K23*$E$3,K23)</f>
        <v>11</v>
      </c>
      <c r="M23" s="51">
        <f>L23/$L$19</f>
        <v>0.20572426228085844</v>
      </c>
      <c r="N23" s="58"/>
      <c r="O23" s="49"/>
      <c r="P23" s="169"/>
      <c r="Q23" s="169"/>
      <c r="R23" s="66">
        <v>6.1819925728119778E-2</v>
      </c>
      <c r="S23" s="59"/>
      <c r="T23" s="116">
        <f>IF(($E$2-$E23)&gt;0,($E$2-$E23)/365,0)</f>
        <v>1.6904109589041096</v>
      </c>
      <c r="U23" s="116">
        <f>T23*L23/IF(G23=$J$49,$L$49,$L$50)</f>
        <v>0.21685457188276147</v>
      </c>
      <c r="V23" s="116">
        <f>T23*L23/($L$49+$L$50)</f>
        <v>0.10097518809035716</v>
      </c>
      <c r="X23" s="98">
        <f>X21</f>
        <v>950</v>
      </c>
      <c r="Y23" s="102">
        <f>IF($E23&lt;=$E$2,$R23*X23,0)</f>
        <v>58.728929441713788</v>
      </c>
      <c r="Z23" s="108">
        <f t="shared" si="0"/>
        <v>5.3389935856103445</v>
      </c>
      <c r="AA23" s="79">
        <f t="shared" si="2"/>
        <v>1.6936719337249602</v>
      </c>
      <c r="AC23" s="104">
        <f>IF(I23="USD",K23,K23/J23)</f>
        <v>2</v>
      </c>
      <c r="AD23" s="158">
        <f>AD21</f>
        <v>172.72727272727272</v>
      </c>
      <c r="AE23" s="104">
        <f>IF($E23&lt;=$E$2,$R23*AD23,0)</f>
        <v>10.677987171220689</v>
      </c>
      <c r="AF23" s="108">
        <f t="shared" si="3"/>
        <v>5.3389935856103445</v>
      </c>
      <c r="AG23" s="79">
        <f t="shared" si="4"/>
        <v>1.6936719337249602</v>
      </c>
      <c r="AI23" s="172" t="str">
        <f t="shared" si="1"/>
        <v>-</v>
      </c>
      <c r="AJ23" s="172" t="str">
        <f t="shared" si="5"/>
        <v>-</v>
      </c>
      <c r="AL23" s="171"/>
    </row>
    <row r="24" spans="1:40" x14ac:dyDescent="0.35">
      <c r="A24" s="37"/>
      <c r="B24" s="37" t="s">
        <v>26</v>
      </c>
      <c r="C24" s="35"/>
      <c r="D24" s="35"/>
      <c r="E24" s="49"/>
      <c r="F24" s="49"/>
      <c r="G24" s="49"/>
      <c r="H24" s="49"/>
      <c r="I24" s="49"/>
      <c r="J24" s="49"/>
      <c r="K24" s="99"/>
      <c r="L24" s="101">
        <f>L25+L26</f>
        <v>9</v>
      </c>
      <c r="M24" s="49"/>
      <c r="N24" s="62"/>
      <c r="O24" s="51">
        <v>0.84</v>
      </c>
      <c r="P24" s="168">
        <v>62.5</v>
      </c>
      <c r="Q24" s="168">
        <v>28.6</v>
      </c>
      <c r="R24" s="63">
        <f>R25+R26</f>
        <v>0.10061293334727892</v>
      </c>
      <c r="S24" s="64"/>
      <c r="T24" s="114">
        <f>SUMPRODUCT(T25:T26,$M$25:$M$26)</f>
        <v>4.1805175038051754</v>
      </c>
      <c r="U24" s="115"/>
      <c r="V24" s="115"/>
      <c r="X24" s="161">
        <v>271</v>
      </c>
      <c r="Y24" s="101">
        <f>Y25+Y26</f>
        <v>27.266104937112587</v>
      </c>
      <c r="Z24" s="109">
        <f t="shared" si="0"/>
        <v>3.0295672152347319</v>
      </c>
      <c r="AA24" s="83">
        <f t="shared" si="2"/>
        <v>0.30361264724840864</v>
      </c>
      <c r="AC24" s="110">
        <f>AC25+AC26</f>
        <v>1.6552569678041822</v>
      </c>
      <c r="AD24" s="111">
        <f>X24/$E$3</f>
        <v>49.272727272727273</v>
      </c>
      <c r="AE24" s="110">
        <f>AE25+AE26</f>
        <v>4.9574736249295608</v>
      </c>
      <c r="AF24" s="109">
        <f t="shared" si="3"/>
        <v>2.9949873169880128</v>
      </c>
      <c r="AG24" s="83">
        <f t="shared" si="4"/>
        <v>0.30003781307088961</v>
      </c>
      <c r="AI24" s="172">
        <f t="shared" si="1"/>
        <v>9.475524475524475</v>
      </c>
      <c r="AJ24" s="172">
        <f t="shared" si="5"/>
        <v>4.3360000000000003</v>
      </c>
      <c r="AL24" s="171"/>
    </row>
    <row r="25" spans="1:40" outlineLevel="1" x14ac:dyDescent="0.35">
      <c r="A25" s="21"/>
      <c r="B25" s="21"/>
      <c r="C25" s="38" t="s">
        <v>10</v>
      </c>
      <c r="D25" s="38"/>
      <c r="E25" s="55">
        <v>44166</v>
      </c>
      <c r="F25" s="80">
        <f t="shared" ref="F25:F26" si="15">YEAR(E25)</f>
        <v>2020</v>
      </c>
      <c r="G25" s="56" t="s">
        <v>35</v>
      </c>
      <c r="H25" s="56" t="s">
        <v>98</v>
      </c>
      <c r="I25" s="57" t="s">
        <v>37</v>
      </c>
      <c r="J25" s="97">
        <f>SUMIF('3- Support - FX rate'!$A$4:$A$90,'2- Detailed'!E25,'3- Support - FX rate'!$B$4:$B$90)</f>
        <v>5.1942000000000004</v>
      </c>
      <c r="K25" s="100">
        <f>(800*5)/1000</f>
        <v>4</v>
      </c>
      <c r="L25" s="102">
        <f>IF(I25="USD",K25*$E$3,K25)</f>
        <v>4</v>
      </c>
      <c r="M25" s="51">
        <f>L25/$L$24</f>
        <v>0.44444444444444442</v>
      </c>
      <c r="N25" s="58"/>
      <c r="O25" s="49"/>
      <c r="P25" s="169"/>
      <c r="Q25" s="169"/>
      <c r="R25" s="65">
        <v>6.4303185262380588E-2</v>
      </c>
      <c r="S25" s="59"/>
      <c r="T25" s="116">
        <f>IF(($E$2-$E25)&gt;0,($E$2-$E25)/365,0)</f>
        <v>4.6904109589041099</v>
      </c>
      <c r="U25" s="116">
        <f>T25*L25/IF(G25=$J$49,$L$49,$L$50)</f>
        <v>0.19066148833729282</v>
      </c>
      <c r="V25" s="116">
        <f>T25*L25/($L$49+$L$50)</f>
        <v>0.10188272993115749</v>
      </c>
      <c r="X25" s="98">
        <f>X24</f>
        <v>271</v>
      </c>
      <c r="Y25" s="102">
        <f>IF($E25&lt;=$E$2,$R25*X25,0)</f>
        <v>17.426163206105141</v>
      </c>
      <c r="Z25" s="108">
        <f t="shared" si="0"/>
        <v>4.3565408015262852</v>
      </c>
      <c r="AA25" s="79">
        <f t="shared" si="2"/>
        <v>0.36856562082229383</v>
      </c>
      <c r="AC25" s="104">
        <f>IF(I25="USD",K25,K25/J25)</f>
        <v>0.77008971545185012</v>
      </c>
      <c r="AD25" s="158">
        <f>AD24</f>
        <v>49.272727272727273</v>
      </c>
      <c r="AE25" s="104">
        <f>IF($E25&lt;=$E$2,$R25*AD25,0)</f>
        <v>3.1683933102009343</v>
      </c>
      <c r="AF25" s="108">
        <f t="shared" si="3"/>
        <v>4.114317132961423</v>
      </c>
      <c r="AG25" s="79">
        <f t="shared" si="4"/>
        <v>0.35197561171999414</v>
      </c>
      <c r="AI25" s="172" t="str">
        <f t="shared" si="1"/>
        <v>-</v>
      </c>
      <c r="AJ25" s="172" t="str">
        <f t="shared" si="5"/>
        <v>-</v>
      </c>
      <c r="AL25" s="171"/>
    </row>
    <row r="26" spans="1:40" outlineLevel="1" x14ac:dyDescent="0.35">
      <c r="A26" s="21"/>
      <c r="B26" s="21"/>
      <c r="C26" s="38" t="s">
        <v>11</v>
      </c>
      <c r="D26" s="38"/>
      <c r="E26" s="55">
        <v>44501</v>
      </c>
      <c r="F26" s="80">
        <f t="shared" si="15"/>
        <v>2021</v>
      </c>
      <c r="G26" s="56" t="s">
        <v>35</v>
      </c>
      <c r="H26" s="56" t="s">
        <v>98</v>
      </c>
      <c r="I26" s="57" t="s">
        <v>37</v>
      </c>
      <c r="J26" s="97">
        <f>SUMIF('3- Support - FX rate'!$A$4:$A$90,'2- Detailed'!E26,'3- Support - FX rate'!$B$4:$B$90)</f>
        <v>5.6486499999999999</v>
      </c>
      <c r="K26" s="100">
        <f>(1000*5)/1000</f>
        <v>5</v>
      </c>
      <c r="L26" s="102">
        <f>IF(I26="USD",K26*$E$3,K26)</f>
        <v>5</v>
      </c>
      <c r="M26" s="51">
        <f>L26/$L$24</f>
        <v>0.55555555555555558</v>
      </c>
      <c r="N26" s="58"/>
      <c r="O26" s="49"/>
      <c r="P26" s="169"/>
      <c r="Q26" s="169"/>
      <c r="R26" s="65">
        <v>3.6309748084898327E-2</v>
      </c>
      <c r="S26" s="59"/>
      <c r="T26" s="116">
        <f>IF(($E$2-$E26)&gt;0,($E$2-$E26)/365,0)</f>
        <v>3.7726027397260276</v>
      </c>
      <c r="U26" s="116">
        <f>T26*L26/IF(G26=$J$49,$L$49,$L$50)</f>
        <v>0.19169163948631146</v>
      </c>
      <c r="V26" s="116">
        <f>T26*L26/($L$49+$L$50)</f>
        <v>0.10243320612967573</v>
      </c>
      <c r="X26" s="98">
        <f>X25</f>
        <v>271</v>
      </c>
      <c r="Y26" s="102">
        <f>IF($E26&lt;=$E$2,$R26*X26,0)</f>
        <v>9.8399417310074462</v>
      </c>
      <c r="Z26" s="108">
        <f t="shared" si="0"/>
        <v>1.9679883462014893</v>
      </c>
      <c r="AA26" s="79">
        <f t="shared" si="2"/>
        <v>0.19656488371608893</v>
      </c>
      <c r="AC26" s="104">
        <f>IF(I26="USD",K26,K26/J26)</f>
        <v>0.88516725235233196</v>
      </c>
      <c r="AD26" s="158">
        <f>AD25</f>
        <v>49.272727272727273</v>
      </c>
      <c r="AE26" s="104">
        <f>IF($E26&lt;=$E$2,$R26*AD26,0)</f>
        <v>1.7890803147286267</v>
      </c>
      <c r="AF26" s="108">
        <f t="shared" si="3"/>
        <v>2.0211777039583714</v>
      </c>
      <c r="AG26" s="79">
        <f t="shared" si="4"/>
        <v>0.20505335451943818</v>
      </c>
      <c r="AI26" s="172" t="str">
        <f t="shared" si="1"/>
        <v>-</v>
      </c>
      <c r="AJ26" s="172" t="str">
        <f t="shared" si="5"/>
        <v>-</v>
      </c>
      <c r="AL26" s="171"/>
    </row>
    <row r="27" spans="1:40" x14ac:dyDescent="0.35">
      <c r="A27" s="37"/>
      <c r="B27" s="35" t="s">
        <v>53</v>
      </c>
      <c r="C27" s="37"/>
      <c r="D27" s="35"/>
      <c r="E27" s="49"/>
      <c r="F27" s="49"/>
      <c r="G27" s="49"/>
      <c r="H27" s="49"/>
      <c r="I27" s="49"/>
      <c r="J27" s="49"/>
      <c r="K27" s="99"/>
      <c r="L27" s="101">
        <f>L28+L29</f>
        <v>44.575892500000002</v>
      </c>
      <c r="M27" s="49"/>
      <c r="N27" s="62"/>
      <c r="O27" s="51">
        <v>0.62</v>
      </c>
      <c r="P27" s="168">
        <v>160</v>
      </c>
      <c r="Q27" s="168">
        <v>50</v>
      </c>
      <c r="R27" s="63">
        <f>R28+R29</f>
        <v>0.247475</v>
      </c>
      <c r="S27" s="64"/>
      <c r="T27" s="114">
        <f>SUMPRODUCT(T28:T29,$M$28:$M$29)</f>
        <v>2.8731659040276702</v>
      </c>
      <c r="U27" s="115"/>
      <c r="V27" s="115"/>
      <c r="X27" s="159">
        <v>285</v>
      </c>
      <c r="Y27" s="101">
        <f>Y28+Y29</f>
        <v>70.530375000000006</v>
      </c>
      <c r="Z27" s="109">
        <f t="shared" si="0"/>
        <v>1.5822537933480525</v>
      </c>
      <c r="AA27" s="83">
        <f t="shared" si="2"/>
        <v>0.17316119272363784</v>
      </c>
      <c r="AC27" s="110">
        <f>AC28+AC29</f>
        <v>7.9452686043824361</v>
      </c>
      <c r="AD27" s="111">
        <f>X27/$E$3</f>
        <v>51.81818181818182</v>
      </c>
      <c r="AE27" s="110">
        <f>AE28+AE29</f>
        <v>12.823704545454547</v>
      </c>
      <c r="AF27" s="109">
        <f t="shared" si="3"/>
        <v>1.6140051625669738</v>
      </c>
      <c r="AG27" s="83">
        <f t="shared" si="4"/>
        <v>0.18130193950795559</v>
      </c>
      <c r="AI27" s="172">
        <f t="shared" si="1"/>
        <v>5.7</v>
      </c>
      <c r="AJ27" s="172">
        <f t="shared" si="5"/>
        <v>1.78125</v>
      </c>
      <c r="AL27" s="171"/>
    </row>
    <row r="28" spans="1:40" outlineLevel="1" x14ac:dyDescent="0.35">
      <c r="A28" s="21"/>
      <c r="B28" s="38"/>
      <c r="C28" s="38" t="s">
        <v>40</v>
      </c>
      <c r="D28" s="38"/>
      <c r="E28" s="55">
        <v>44409</v>
      </c>
      <c r="F28" s="80">
        <f t="shared" ref="F28:F29" si="16">YEAR(E28)</f>
        <v>2021</v>
      </c>
      <c r="G28" s="56" t="s">
        <v>35</v>
      </c>
      <c r="H28" s="56" t="s">
        <v>98</v>
      </c>
      <c r="I28" s="57" t="s">
        <v>38</v>
      </c>
      <c r="J28" s="97">
        <f>SUMIF('3- Support - FX rate'!$A$4:$A$90,'2- Detailed'!E28,'3- Support - FX rate'!$B$4:$B$90)</f>
        <v>5.1195500000000003</v>
      </c>
      <c r="K28" s="100">
        <v>5.3774350000000002</v>
      </c>
      <c r="L28" s="102">
        <f>IF(I28="USD",K28*$E$3,K28)</f>
        <v>29.575892500000002</v>
      </c>
      <c r="M28" s="51">
        <f>L28/$L$27</f>
        <v>0.66349524016821426</v>
      </c>
      <c r="N28" s="58"/>
      <c r="O28" s="49"/>
      <c r="P28" s="169"/>
      <c r="Q28" s="169"/>
      <c r="R28" s="66">
        <f>14.63%*0.8</f>
        <v>0.11704000000000002</v>
      </c>
      <c r="S28" s="59"/>
      <c r="T28" s="116">
        <f>IF(($E$2-$E28)&gt;0,($E$2-$E28)/365,0)</f>
        <v>4.0246575342465754</v>
      </c>
      <c r="U28" s="116">
        <f>T28*L28/IF(G28=$J$49,$L$49,$L$50)</f>
        <v>1.209647638764471</v>
      </c>
      <c r="V28" s="116">
        <f>T28*L28/($L$49+$L$50)</f>
        <v>0.64639274961537763</v>
      </c>
      <c r="X28" s="98">
        <f>X27</f>
        <v>285</v>
      </c>
      <c r="Y28" s="102">
        <f>IF($E28&lt;=$E$2,$R28*X28,0)</f>
        <v>33.356400000000008</v>
      </c>
      <c r="Z28" s="108">
        <f t="shared" si="0"/>
        <v>1.1278239532416479</v>
      </c>
      <c r="AA28" s="79">
        <f t="shared" si="2"/>
        <v>3.0339412828765067E-2</v>
      </c>
      <c r="AC28" s="104">
        <f>IF(I28="USD",K28,K28/J28)</f>
        <v>5.3774350000000002</v>
      </c>
      <c r="AD28" s="158">
        <f>AD27</f>
        <v>51.81818181818182</v>
      </c>
      <c r="AE28" s="104">
        <f>IF($E28&lt;=$E$2,$R28*AD28,0)</f>
        <v>6.0648000000000009</v>
      </c>
      <c r="AF28" s="108">
        <f t="shared" si="3"/>
        <v>1.1278239532416479</v>
      </c>
      <c r="AG28" s="79">
        <f t="shared" si="4"/>
        <v>3.0339412828765067E-2</v>
      </c>
      <c r="AI28" s="172" t="str">
        <f t="shared" si="1"/>
        <v>-</v>
      </c>
      <c r="AJ28" s="172" t="str">
        <f t="shared" si="5"/>
        <v>-</v>
      </c>
      <c r="AL28" s="171"/>
    </row>
    <row r="29" spans="1:40" outlineLevel="1" x14ac:dyDescent="0.35">
      <c r="A29" s="21"/>
      <c r="B29" s="38"/>
      <c r="C29" s="21" t="s">
        <v>42</v>
      </c>
      <c r="D29" s="38"/>
      <c r="E29" s="55">
        <v>45658</v>
      </c>
      <c r="F29" s="80">
        <f t="shared" si="16"/>
        <v>2025</v>
      </c>
      <c r="G29" s="56" t="s">
        <v>39</v>
      </c>
      <c r="H29" s="56" t="s">
        <v>98</v>
      </c>
      <c r="I29" s="57" t="s">
        <v>37</v>
      </c>
      <c r="J29" s="97">
        <f>SUMIF('3- Support - FX rate'!$A$4:$A$90,'2- Detailed'!E29,'3- Support - FX rate'!$B$4:$B$90)</f>
        <v>5.8414999999999999</v>
      </c>
      <c r="K29" s="100">
        <v>15</v>
      </c>
      <c r="L29" s="102">
        <f>IF(I29="USD",K29*$E$3,K29)</f>
        <v>15</v>
      </c>
      <c r="M29" s="51">
        <f>L29/$L$27</f>
        <v>0.33650475983178574</v>
      </c>
      <c r="N29" s="58"/>
      <c r="O29" s="49"/>
      <c r="P29" s="169"/>
      <c r="Q29" s="169"/>
      <c r="R29" s="66">
        <v>0.130435</v>
      </c>
      <c r="S29" s="59"/>
      <c r="T29" s="116">
        <f>IF(($E$2-$E29)&gt;0,($E$2-$E29)/365,0)</f>
        <v>0.60273972602739723</v>
      </c>
      <c r="U29" s="116">
        <f>T29*L29/IF(G29=$J$49,$L$49,$L$50)</f>
        <v>0.10543982425417898</v>
      </c>
      <c r="V29" s="116">
        <f>T29*L29/($L$49+$L$50)</f>
        <v>4.9096525813787921E-2</v>
      </c>
      <c r="X29" s="98">
        <f>X28</f>
        <v>285</v>
      </c>
      <c r="Y29" s="102">
        <f>IF($E29&lt;=$E$2,$R29*X29,0)</f>
        <v>37.173974999999999</v>
      </c>
      <c r="Z29" s="108">
        <f t="shared" si="0"/>
        <v>2.4782649999999999</v>
      </c>
      <c r="AA29" s="79">
        <f t="shared" si="2"/>
        <v>3.5074086940815388</v>
      </c>
      <c r="AC29" s="104">
        <f>IF(I29="USD",K29,K29/J29)</f>
        <v>2.5678336043824359</v>
      </c>
      <c r="AD29" s="158">
        <f>AD28</f>
        <v>51.81818181818182</v>
      </c>
      <c r="AE29" s="104">
        <f>IF($E29&lt;=$E$2,$R29*AD29,0)</f>
        <v>6.7589045454545458</v>
      </c>
      <c r="AF29" s="108">
        <f t="shared" si="3"/>
        <v>2.6321427268181821</v>
      </c>
      <c r="AG29" s="79">
        <f t="shared" si="4"/>
        <v>3.9811722803761889</v>
      </c>
      <c r="AI29" s="172" t="str">
        <f t="shared" si="1"/>
        <v>-</v>
      </c>
      <c r="AJ29" s="172" t="str">
        <f t="shared" si="5"/>
        <v>-</v>
      </c>
      <c r="AL29" s="171"/>
    </row>
    <row r="30" spans="1:40" x14ac:dyDescent="0.35">
      <c r="A30" s="21"/>
      <c r="B30" s="35" t="s">
        <v>44</v>
      </c>
      <c r="C30" s="21"/>
      <c r="D30" s="38"/>
      <c r="E30" s="49"/>
      <c r="F30" s="49"/>
      <c r="G30" s="49"/>
      <c r="H30" s="49"/>
      <c r="I30" s="49"/>
      <c r="J30" s="49"/>
      <c r="K30" s="99"/>
      <c r="L30" s="101">
        <f>L31</f>
        <v>12.5</v>
      </c>
      <c r="M30" s="49"/>
      <c r="N30" s="52"/>
      <c r="O30" s="51">
        <v>0.57256466010551121</v>
      </c>
      <c r="P30" s="168">
        <v>140</v>
      </c>
      <c r="Q30" s="168">
        <v>23</v>
      </c>
      <c r="R30" s="63">
        <f>R31</f>
        <v>9.0899999999999995E-2</v>
      </c>
      <c r="S30" s="59"/>
      <c r="T30" s="114">
        <f>SUMPRODUCT(T31,$M$31)</f>
        <v>2.9397260273972603</v>
      </c>
      <c r="U30" s="115"/>
      <c r="V30" s="115"/>
      <c r="X30" s="163">
        <v>225</v>
      </c>
      <c r="Y30" s="101">
        <f>Y31</f>
        <v>20.452500000000001</v>
      </c>
      <c r="Z30" s="109">
        <f>IFERROR(Y30/L30,0)</f>
        <v>1.6362000000000001</v>
      </c>
      <c r="AA30" s="83">
        <f>IFERROR(((Z30^(1/$T30))-1),0)</f>
        <v>0.18233417777328209</v>
      </c>
      <c r="AC30" s="110">
        <f>AC31</f>
        <v>2.3110272978544422</v>
      </c>
      <c r="AD30" s="111">
        <f>X30/$E$3</f>
        <v>40.909090909090907</v>
      </c>
      <c r="AE30" s="110">
        <f>AE31</f>
        <v>3.7186363636363633</v>
      </c>
      <c r="AF30" s="109">
        <f>IFERROR(AE30/AC30,0)</f>
        <v>1.6090837036363637</v>
      </c>
      <c r="AG30" s="83">
        <f>IFERROR(((AF30^(1/$T30))-1),0)</f>
        <v>0.17563197828356736</v>
      </c>
      <c r="AI30" s="172">
        <f t="shared" si="1"/>
        <v>9.7826086956521738</v>
      </c>
      <c r="AJ30" s="172">
        <f t="shared" si="5"/>
        <v>1.6071428571428572</v>
      </c>
      <c r="AL30" s="171"/>
    </row>
    <row r="31" spans="1:40" s="193" customFormat="1" outlineLevel="1" x14ac:dyDescent="0.35">
      <c r="A31" s="173"/>
      <c r="B31" s="173"/>
      <c r="C31" s="174" t="s">
        <v>44</v>
      </c>
      <c r="D31" s="174"/>
      <c r="E31" s="175">
        <v>44805</v>
      </c>
      <c r="F31" s="176">
        <f>YEAR(E31)</f>
        <v>2022</v>
      </c>
      <c r="G31" s="177" t="s">
        <v>39</v>
      </c>
      <c r="H31" s="177" t="s">
        <v>49</v>
      </c>
      <c r="I31" s="178" t="s">
        <v>37</v>
      </c>
      <c r="J31" s="179">
        <f>SUMIF('3- Support - FX rate'!$A$4:$A$90,'2- Detailed'!E31,'3- Support - FX rate'!$B$4:$B$90)</f>
        <v>5.4088500000000002</v>
      </c>
      <c r="K31" s="180">
        <v>12.5</v>
      </c>
      <c r="L31" s="181">
        <f>IF(I31="USD",K31*$E$3,K31)</f>
        <v>12.5</v>
      </c>
      <c r="M31" s="182">
        <f>L31/$L$30</f>
        <v>1</v>
      </c>
      <c r="N31" s="183"/>
      <c r="O31" s="197"/>
      <c r="P31" s="198"/>
      <c r="Q31" s="198"/>
      <c r="R31" s="186">
        <v>9.0899999999999995E-2</v>
      </c>
      <c r="S31" s="187"/>
      <c r="T31" s="188">
        <f>IF(($E$2-$E31)&gt;0,($E$2-$E31)/365,0)</f>
        <v>2.9397260273972603</v>
      </c>
      <c r="U31" s="188">
        <f>T31*L31/IF(G31=$J$49,$L$49,$L$50)</f>
        <v>0.42854898266944719</v>
      </c>
      <c r="V31" s="188">
        <f>T31*L31/($L$49+$L$50)</f>
        <v>0.19954762196285775</v>
      </c>
      <c r="W31" s="189"/>
      <c r="X31" s="190">
        <f>X30</f>
        <v>225</v>
      </c>
      <c r="Y31" s="181">
        <f>IF($E31&lt;=$E$2,$R31*X31,0)</f>
        <v>20.452500000000001</v>
      </c>
      <c r="Z31" s="191">
        <f>IFERROR(Y31/L31,0)</f>
        <v>1.6362000000000001</v>
      </c>
      <c r="AA31" s="192">
        <f>IFERROR(((Z31^(1/$T31))-1),0)</f>
        <v>0.18233417777328209</v>
      </c>
      <c r="AC31" s="194">
        <f>IF(I31="USD",K31,K31/J31)</f>
        <v>2.3110272978544422</v>
      </c>
      <c r="AD31" s="195">
        <f>AD30</f>
        <v>40.909090909090907</v>
      </c>
      <c r="AE31" s="194">
        <f>IF($E31&lt;=$E$2,$R31*AD31,0)</f>
        <v>3.7186363636363633</v>
      </c>
      <c r="AF31" s="191">
        <f>IFERROR(AE31/AC31,0)</f>
        <v>1.6090837036363637</v>
      </c>
      <c r="AG31" s="192">
        <f>IFERROR(((AF31^(1/$T31))-1),0)</f>
        <v>0.17563197828356736</v>
      </c>
      <c r="AI31" s="196" t="str">
        <f t="shared" si="1"/>
        <v>-</v>
      </c>
      <c r="AJ31" s="196" t="str">
        <f t="shared" si="5"/>
        <v>-</v>
      </c>
      <c r="AL31" s="207">
        <v>19.399999999999999</v>
      </c>
      <c r="AM31" s="191">
        <f>AL31/L31</f>
        <v>1.5519999999999998</v>
      </c>
      <c r="AN31" s="208">
        <f>IFERROR(((AM31^(1/$T31))-1),0)</f>
        <v>0.1612753475429507</v>
      </c>
    </row>
    <row r="32" spans="1:40" x14ac:dyDescent="0.35">
      <c r="A32" s="37"/>
      <c r="B32" s="37" t="s">
        <v>41</v>
      </c>
      <c r="C32" s="35"/>
      <c r="D32" s="35"/>
      <c r="E32" s="49"/>
      <c r="F32" s="49"/>
      <c r="G32" s="49"/>
      <c r="H32" s="49"/>
      <c r="I32" s="49"/>
      <c r="J32" s="49"/>
      <c r="K32" s="99"/>
      <c r="L32" s="101">
        <f>L34+L33</f>
        <v>16.5</v>
      </c>
      <c r="M32" s="49"/>
      <c r="N32" s="62"/>
      <c r="O32" s="51">
        <v>1.8</v>
      </c>
      <c r="P32" s="168">
        <v>14</v>
      </c>
      <c r="Q32" s="168">
        <v>5</v>
      </c>
      <c r="R32" s="63">
        <f>R34+R33</f>
        <v>0.35000000000000014</v>
      </c>
      <c r="S32" s="64"/>
      <c r="T32" s="114">
        <f>SUMPRODUCT(T33:T34,$M$33:$M$34)</f>
        <v>1.1529265255292653</v>
      </c>
      <c r="U32" s="115"/>
      <c r="V32" s="115"/>
      <c r="X32" s="162">
        <v>47.142857142857125</v>
      </c>
      <c r="Y32" s="101">
        <f>Y34+Y33</f>
        <v>16.5</v>
      </c>
      <c r="Z32" s="107">
        <f t="shared" si="0"/>
        <v>1</v>
      </c>
      <c r="AA32" s="79" t="s">
        <v>112</v>
      </c>
      <c r="AC32" s="110">
        <f>AC34+AC33</f>
        <v>3.0932893074591177</v>
      </c>
      <c r="AD32" s="111">
        <f>X32/$E$3</f>
        <v>8.5714285714285676</v>
      </c>
      <c r="AE32" s="110">
        <f>AE34+AE33</f>
        <v>2.9999999999999996</v>
      </c>
      <c r="AF32" s="107">
        <f t="shared" si="3"/>
        <v>0.96984138947683896</v>
      </c>
      <c r="AG32" s="79" t="s">
        <v>112</v>
      </c>
      <c r="AI32" s="172">
        <f t="shared" si="1"/>
        <v>9.4285714285714253</v>
      </c>
      <c r="AJ32" s="172">
        <f t="shared" si="5"/>
        <v>3.3673469387755088</v>
      </c>
      <c r="AL32" s="171"/>
    </row>
    <row r="33" spans="1:40" s="193" customFormat="1" outlineLevel="1" x14ac:dyDescent="0.35">
      <c r="A33" s="173"/>
      <c r="B33" s="173"/>
      <c r="C33" s="174" t="s">
        <v>71</v>
      </c>
      <c r="D33" s="174"/>
      <c r="E33" s="175">
        <v>45383</v>
      </c>
      <c r="F33" s="176">
        <f t="shared" ref="F33:F34" si="17">YEAR(E33)</f>
        <v>2024</v>
      </c>
      <c r="G33" s="177" t="s">
        <v>39</v>
      </c>
      <c r="H33" s="177" t="s">
        <v>49</v>
      </c>
      <c r="I33" s="178" t="s">
        <v>37</v>
      </c>
      <c r="J33" s="179">
        <f>SUMIF('3- Support - FX rate'!$A$4:$A$90,'2- Detailed'!E33,'3- Support - FX rate'!$B$4:$B$90)</f>
        <v>5.1830999999999996</v>
      </c>
      <c r="K33" s="180">
        <v>12.5</v>
      </c>
      <c r="L33" s="181">
        <f>IF(I33="USD",K33*$E$3,K33)</f>
        <v>12.5</v>
      </c>
      <c r="M33" s="182">
        <f>L33/$L$32</f>
        <v>0.75757575757575757</v>
      </c>
      <c r="N33" s="183"/>
      <c r="O33" s="197"/>
      <c r="P33" s="198"/>
      <c r="Q33" s="198"/>
      <c r="R33" s="186">
        <v>0.26515151515151525</v>
      </c>
      <c r="S33" s="187"/>
      <c r="T33" s="188">
        <f>IF(($E$2-$E33)&gt;0,($E$2-$E33)/365,0)</f>
        <v>1.3561643835616439</v>
      </c>
      <c r="U33" s="188">
        <f>T33*L33/IF(G33=$J$49,$L$49,$L$50)</f>
        <v>0.19769967047658563</v>
      </c>
      <c r="V33" s="188">
        <f>T33*L33/($L$49+$L$50)</f>
        <v>9.2055985900852372E-2</v>
      </c>
      <c r="W33" s="189"/>
      <c r="X33" s="190">
        <f t="shared" ref="X33:X34" si="18">X32</f>
        <v>47.142857142857125</v>
      </c>
      <c r="Y33" s="181">
        <f>IF($E33&lt;=$E$2,$R33*X33,0)</f>
        <v>12.5</v>
      </c>
      <c r="Z33" s="191">
        <f t="shared" si="0"/>
        <v>1</v>
      </c>
      <c r="AA33" s="192" t="s">
        <v>112</v>
      </c>
      <c r="AC33" s="194">
        <f>IF(I33="USD",K33,K33/J33)</f>
        <v>2.4116841272597482</v>
      </c>
      <c r="AD33" s="195">
        <f t="shared" ref="AD33:AD34" si="19">AD32</f>
        <v>8.5714285714285676</v>
      </c>
      <c r="AE33" s="194">
        <f>IF($E33&lt;=$E$2,$R33*AD33,0)</f>
        <v>2.2727272727272725</v>
      </c>
      <c r="AF33" s="191">
        <f t="shared" si="3"/>
        <v>0.94238181818181799</v>
      </c>
      <c r="AG33" s="192" t="s">
        <v>112</v>
      </c>
      <c r="AI33" s="196" t="str">
        <f t="shared" si="1"/>
        <v>-</v>
      </c>
      <c r="AJ33" s="196" t="str">
        <f t="shared" si="5"/>
        <v>-</v>
      </c>
      <c r="AL33" s="207">
        <v>13</v>
      </c>
      <c r="AM33" s="191">
        <f>AL33/L33</f>
        <v>1.04</v>
      </c>
      <c r="AN33" s="208">
        <f>IFERROR(((AM33^(1/$T33))-1),0)</f>
        <v>2.934257714419708E-2</v>
      </c>
    </row>
    <row r="34" spans="1:40" outlineLevel="1" x14ac:dyDescent="0.35">
      <c r="A34" s="21"/>
      <c r="B34" s="21"/>
      <c r="C34" s="38" t="s">
        <v>72</v>
      </c>
      <c r="D34" s="38"/>
      <c r="E34" s="55">
        <v>45689</v>
      </c>
      <c r="F34" s="80">
        <f t="shared" si="17"/>
        <v>2025</v>
      </c>
      <c r="G34" s="56" t="s">
        <v>39</v>
      </c>
      <c r="H34" s="56" t="s">
        <v>98</v>
      </c>
      <c r="I34" s="57" t="s">
        <v>37</v>
      </c>
      <c r="J34" s="97">
        <f>SUMIF('3- Support - FX rate'!$A$4:$A$90,'2- Detailed'!E34,'3- Support - FX rate'!$B$4:$B$90)</f>
        <v>5.8685</v>
      </c>
      <c r="K34" s="100">
        <v>4</v>
      </c>
      <c r="L34" s="102">
        <f>IF(I34="USD",K34*$E$3,K34)</f>
        <v>4</v>
      </c>
      <c r="M34" s="51">
        <f>L34/$L$32</f>
        <v>0.24242424242424243</v>
      </c>
      <c r="N34" s="58"/>
      <c r="O34" s="49"/>
      <c r="P34" s="169"/>
      <c r="Q34" s="169"/>
      <c r="R34" s="66">
        <v>8.4848484848484881E-2</v>
      </c>
      <c r="S34" s="59"/>
      <c r="T34" s="116">
        <f>IF(($E$2-$E34)&gt;0,($E$2-$E34)/365,0)</f>
        <v>0.51780821917808217</v>
      </c>
      <c r="U34" s="116">
        <f>T34*L34/IF(G34=$J$49,$L$49,$L$50)</f>
        <v>2.4155305192775551E-2</v>
      </c>
      <c r="V34" s="116">
        <f>T34*L34/($L$49+$L$50)</f>
        <v>1.1247567731885962E-2</v>
      </c>
      <c r="X34" s="98">
        <f t="shared" si="18"/>
        <v>47.142857142857125</v>
      </c>
      <c r="Y34" s="102">
        <f>IF($E34&lt;=$E$2,$R34*X34,0)</f>
        <v>4</v>
      </c>
      <c r="Z34" s="108">
        <f t="shared" si="0"/>
        <v>1</v>
      </c>
      <c r="AA34" s="79" t="s">
        <v>112</v>
      </c>
      <c r="AC34" s="104">
        <f>IF(I34="USD",K34,K34/J34)</f>
        <v>0.68160518019936955</v>
      </c>
      <c r="AD34" s="158">
        <f t="shared" si="19"/>
        <v>8.5714285714285676</v>
      </c>
      <c r="AE34" s="104">
        <f>IF($E34&lt;=$E$2,$R34*AD34,0)</f>
        <v>0.72727272727272718</v>
      </c>
      <c r="AF34" s="108">
        <f t="shared" si="3"/>
        <v>1.0669999999999997</v>
      </c>
      <c r="AG34" s="79" t="s">
        <v>112</v>
      </c>
      <c r="AI34" s="172" t="str">
        <f t="shared" si="1"/>
        <v>-</v>
      </c>
      <c r="AJ34" s="172" t="str">
        <f t="shared" si="5"/>
        <v>-</v>
      </c>
      <c r="AL34" s="171"/>
    </row>
    <row r="35" spans="1:40" x14ac:dyDescent="0.35">
      <c r="A35" s="37"/>
      <c r="B35" s="35" t="s">
        <v>45</v>
      </c>
      <c r="C35" s="37"/>
      <c r="D35" s="35"/>
      <c r="E35" s="49"/>
      <c r="F35" s="49"/>
      <c r="G35" s="49"/>
      <c r="H35" s="49"/>
      <c r="I35" s="49"/>
      <c r="J35" s="49"/>
      <c r="K35" s="99"/>
      <c r="L35" s="101">
        <f>L37+L36</f>
        <v>17.246500000000001</v>
      </c>
      <c r="M35" s="49"/>
      <c r="N35" s="62"/>
      <c r="O35" s="51">
        <v>1.19</v>
      </c>
      <c r="P35" s="168">
        <v>35</v>
      </c>
      <c r="Q35" s="168">
        <v>2</v>
      </c>
      <c r="R35" s="63">
        <f>R37+R36</f>
        <v>0.5215999999999994</v>
      </c>
      <c r="S35" s="64"/>
      <c r="T35" s="114">
        <f>SUMPRODUCT(T36:T37,$M$36:$M$37)</f>
        <v>0.83869230564549724</v>
      </c>
      <c r="U35" s="115"/>
      <c r="V35" s="115"/>
      <c r="X35" s="162">
        <v>33.06460889570554</v>
      </c>
      <c r="Y35" s="101">
        <f>Y37+Y36</f>
        <v>17.24649999999999</v>
      </c>
      <c r="Z35" s="109">
        <f t="shared" si="0"/>
        <v>0.99999999999999933</v>
      </c>
      <c r="AA35" s="79" t="s">
        <v>112</v>
      </c>
      <c r="AC35" s="110">
        <f>AC37+AC36</f>
        <v>3.0701936856603043</v>
      </c>
      <c r="AD35" s="111">
        <f>X35/$E$3</f>
        <v>6.0117470719464619</v>
      </c>
      <c r="AE35" s="110">
        <f>AE37+AE36</f>
        <v>3.1357272727272711</v>
      </c>
      <c r="AF35" s="109">
        <f t="shared" si="3"/>
        <v>1.0213450986408608</v>
      </c>
      <c r="AG35" s="79" t="s">
        <v>112</v>
      </c>
      <c r="AI35" s="172">
        <f t="shared" si="1"/>
        <v>16.53230444785277</v>
      </c>
      <c r="AJ35" s="172">
        <f t="shared" si="5"/>
        <v>0.94470311130587259</v>
      </c>
      <c r="AL35" s="171"/>
    </row>
    <row r="36" spans="1:40" s="193" customFormat="1" outlineLevel="1" x14ac:dyDescent="0.35">
      <c r="A36" s="173"/>
      <c r="B36" s="173"/>
      <c r="C36" s="174" t="s">
        <v>73</v>
      </c>
      <c r="D36" s="174"/>
      <c r="E36" s="175">
        <v>45505</v>
      </c>
      <c r="F36" s="176">
        <f t="shared" ref="F36:F37" si="20">YEAR(E36)</f>
        <v>2024</v>
      </c>
      <c r="G36" s="177" t="s">
        <v>39</v>
      </c>
      <c r="H36" s="177" t="s">
        <v>49</v>
      </c>
      <c r="I36" s="178" t="s">
        <v>37</v>
      </c>
      <c r="J36" s="179">
        <f>SUMIF('3- Support - FX rate'!$A$4:$A$90,'2- Detailed'!E36,'3- Support - FX rate'!$B$4:$B$90)</f>
        <v>5.6632999999999996</v>
      </c>
      <c r="K36" s="180">
        <v>12.5</v>
      </c>
      <c r="L36" s="181">
        <f>IF(I36="USD",K36*$E$3,K36)</f>
        <v>12.5</v>
      </c>
      <c r="M36" s="182">
        <f>L36/$L$35</f>
        <v>0.72478473893253703</v>
      </c>
      <c r="N36" s="183"/>
      <c r="O36" s="197"/>
      <c r="P36" s="199"/>
      <c r="Q36" s="199"/>
      <c r="R36" s="186">
        <v>0.37804771982721097</v>
      </c>
      <c r="S36" s="187"/>
      <c r="T36" s="188">
        <f>IF(($E$2-$E36)&gt;0,($E$2-$E36)/365,0)</f>
        <v>1.021917808219178</v>
      </c>
      <c r="U36" s="188">
        <f>T36*L36/IF(G36=$J$49,$L$49,$L$50)</f>
        <v>0.14897369108639683</v>
      </c>
      <c r="V36" s="188">
        <f>T36*L36/($L$49+$L$50)</f>
        <v>6.9367439880844303E-2</v>
      </c>
      <c r="W36" s="189"/>
      <c r="X36" s="190">
        <f>X35</f>
        <v>33.06460889570554</v>
      </c>
      <c r="Y36" s="181">
        <f>IF($E36&lt;=$E$2,$R36*X36,0)</f>
        <v>12.499999999999995</v>
      </c>
      <c r="Z36" s="191">
        <f t="shared" si="0"/>
        <v>0.99999999999999956</v>
      </c>
      <c r="AA36" s="192" t="s">
        <v>112</v>
      </c>
      <c r="AC36" s="194">
        <f>IF(I36="USD",K36,K36/J36)</f>
        <v>2.2071936856603043</v>
      </c>
      <c r="AD36" s="195">
        <f>AD35</f>
        <v>6.0117470719464619</v>
      </c>
      <c r="AE36" s="194">
        <f>IF($E36&lt;=$E$2,$R36*AD36,0)</f>
        <v>2.272727272727272</v>
      </c>
      <c r="AF36" s="191">
        <f t="shared" si="3"/>
        <v>1.0296909090909088</v>
      </c>
      <c r="AG36" s="192" t="s">
        <v>112</v>
      </c>
      <c r="AI36" s="196" t="str">
        <f t="shared" si="1"/>
        <v>-</v>
      </c>
      <c r="AJ36" s="196" t="str">
        <f t="shared" si="5"/>
        <v>-</v>
      </c>
      <c r="AL36" s="207">
        <v>12.5</v>
      </c>
      <c r="AM36" s="191">
        <f>AL36/L36</f>
        <v>1</v>
      </c>
      <c r="AN36" s="208">
        <f>IFERROR(((AM36^(1/$T36))-1),0)</f>
        <v>0</v>
      </c>
    </row>
    <row r="37" spans="1:40" outlineLevel="1" x14ac:dyDescent="0.35">
      <c r="A37" s="21"/>
      <c r="B37" s="38"/>
      <c r="C37" s="21" t="s">
        <v>43</v>
      </c>
      <c r="D37" s="38"/>
      <c r="E37" s="55">
        <v>45748</v>
      </c>
      <c r="F37" s="80">
        <f t="shared" si="20"/>
        <v>2025</v>
      </c>
      <c r="G37" s="56" t="s">
        <v>39</v>
      </c>
      <c r="H37" s="56" t="s">
        <v>98</v>
      </c>
      <c r="I37" s="57" t="s">
        <v>38</v>
      </c>
      <c r="J37" s="97">
        <f>SUMIF('3- Support - FX rate'!$A$4:$A$90,'2- Detailed'!E37,'3- Support - FX rate'!$B$4:$B$90)</f>
        <v>5.6614000000000004</v>
      </c>
      <c r="K37" s="100">
        <v>0.86299999999999999</v>
      </c>
      <c r="L37" s="102">
        <f>IF(I37="USD",K37*$E$3,K37)</f>
        <v>4.7465000000000002</v>
      </c>
      <c r="M37" s="51">
        <f>L37/$L$35</f>
        <v>0.27521526106746297</v>
      </c>
      <c r="N37" s="52"/>
      <c r="O37" s="49"/>
      <c r="P37" s="105"/>
      <c r="Q37" s="105"/>
      <c r="R37" s="66">
        <v>0.14355228017278848</v>
      </c>
      <c r="S37" s="59"/>
      <c r="T37" s="116">
        <f>IF(($E$2-$E37)&gt;0,($E$2-$E37)/365,0)</f>
        <v>0.35616438356164382</v>
      </c>
      <c r="U37" s="116">
        <f>T37*L37/IF(G37=$J$49,$L$49,$L$50)</f>
        <v>1.9715489805127235E-2</v>
      </c>
      <c r="V37" s="116">
        <f>T37*L37/($L$49+$L$50)</f>
        <v>9.180232051748111E-3</v>
      </c>
      <c r="X37" s="98">
        <f>X36</f>
        <v>33.06460889570554</v>
      </c>
      <c r="Y37" s="102">
        <f>IF($E37&lt;=$E$2,$R37*X37,0)</f>
        <v>4.7464999999999957</v>
      </c>
      <c r="Z37" s="108">
        <f t="shared" si="0"/>
        <v>0.99999999999999911</v>
      </c>
      <c r="AA37" s="79" t="s">
        <v>112</v>
      </c>
      <c r="AC37" s="104">
        <f>IF(I37="USD",K37,K37/J37)</f>
        <v>0.86299999999999999</v>
      </c>
      <c r="AD37" s="158">
        <f>AD36</f>
        <v>6.0117470719464619</v>
      </c>
      <c r="AE37" s="104">
        <f>IF($E37&lt;=$E$2,$R37*AD37,0)</f>
        <v>0.86299999999999932</v>
      </c>
      <c r="AF37" s="108">
        <f t="shared" si="3"/>
        <v>0.99999999999999922</v>
      </c>
      <c r="AG37" s="79" t="s">
        <v>112</v>
      </c>
      <c r="AI37" s="172" t="str">
        <f t="shared" si="1"/>
        <v>-</v>
      </c>
      <c r="AJ37" s="172" t="str">
        <f t="shared" si="5"/>
        <v>-</v>
      </c>
      <c r="AL37" s="209">
        <f>SUM(AL7:AL36)</f>
        <v>84.8</v>
      </c>
      <c r="AM37" s="191"/>
      <c r="AN37" s="208"/>
    </row>
    <row r="38" spans="1:40" x14ac:dyDescent="0.35">
      <c r="A38" s="21"/>
      <c r="B38" s="35" t="s">
        <v>90</v>
      </c>
      <c r="C38" s="21"/>
      <c r="D38" s="38"/>
      <c r="E38" s="49"/>
      <c r="F38" s="49"/>
      <c r="G38" s="49"/>
      <c r="H38" s="49"/>
      <c r="I38" s="49"/>
      <c r="J38" s="49"/>
      <c r="K38" s="99"/>
      <c r="L38" s="101">
        <f>L39</f>
        <v>12.5</v>
      </c>
      <c r="M38" s="49"/>
      <c r="N38" s="52"/>
      <c r="O38" s="49"/>
      <c r="P38" s="105"/>
      <c r="Q38" s="105"/>
      <c r="R38" s="85"/>
      <c r="S38" s="59"/>
      <c r="T38" s="117"/>
      <c r="U38" s="117"/>
      <c r="V38" s="117"/>
      <c r="W38" s="96"/>
      <c r="X38" s="106"/>
      <c r="Y38" s="106"/>
      <c r="Z38" s="95"/>
      <c r="AA38" s="85"/>
      <c r="AC38" s="112"/>
      <c r="AD38" s="112"/>
      <c r="AE38" s="112"/>
      <c r="AF38" s="95"/>
      <c r="AG38" s="85"/>
      <c r="AI38" s="172" t="str">
        <f t="shared" si="1"/>
        <v>-</v>
      </c>
      <c r="AJ38" s="172" t="str">
        <f t="shared" si="5"/>
        <v>-</v>
      </c>
    </row>
    <row r="39" spans="1:40" s="193" customFormat="1" outlineLevel="1" x14ac:dyDescent="0.35">
      <c r="A39" s="173"/>
      <c r="B39" s="173"/>
      <c r="C39" s="174" t="s">
        <v>96</v>
      </c>
      <c r="D39" s="174"/>
      <c r="E39" s="175">
        <v>45962</v>
      </c>
      <c r="F39" s="176">
        <f>YEAR(E39)</f>
        <v>2025</v>
      </c>
      <c r="G39" s="177" t="s">
        <v>39</v>
      </c>
      <c r="H39" s="177" t="s">
        <v>49</v>
      </c>
      <c r="I39" s="178" t="s">
        <v>37</v>
      </c>
      <c r="J39" s="200"/>
      <c r="K39" s="180">
        <v>12.5</v>
      </c>
      <c r="L39" s="181">
        <f>IF(I39="USD",K39*$E$3,K39)</f>
        <v>12.5</v>
      </c>
      <c r="M39" s="182">
        <f>L39/$L$38</f>
        <v>1</v>
      </c>
      <c r="N39" s="183"/>
      <c r="O39" s="197"/>
      <c r="P39" s="199"/>
      <c r="Q39" s="199"/>
      <c r="R39" s="200"/>
      <c r="S39" s="187"/>
      <c r="T39" s="201"/>
      <c r="U39" s="201"/>
      <c r="V39" s="201"/>
      <c r="W39" s="202"/>
      <c r="X39" s="203"/>
      <c r="Y39" s="203"/>
      <c r="Z39" s="204"/>
      <c r="AA39" s="205"/>
      <c r="AC39" s="206"/>
      <c r="AD39" s="206"/>
      <c r="AE39" s="206"/>
      <c r="AF39" s="204"/>
      <c r="AG39" s="205"/>
      <c r="AI39" s="196" t="str">
        <f t="shared" si="1"/>
        <v>-</v>
      </c>
      <c r="AJ39" s="196" t="str">
        <f t="shared" si="5"/>
        <v>-</v>
      </c>
    </row>
    <row r="40" spans="1:40" outlineLevel="1" x14ac:dyDescent="0.35">
      <c r="A40" s="21"/>
      <c r="B40" s="21"/>
      <c r="C40" s="38" t="s">
        <v>57</v>
      </c>
      <c r="D40" s="38"/>
      <c r="E40" s="55">
        <v>45962</v>
      </c>
      <c r="F40" s="80">
        <f>YEAR(E40)</f>
        <v>2025</v>
      </c>
      <c r="G40" s="56" t="s">
        <v>39</v>
      </c>
      <c r="H40" s="56" t="s">
        <v>98</v>
      </c>
      <c r="I40" s="67" t="s">
        <v>37</v>
      </c>
      <c r="J40" s="84"/>
      <c r="K40" s="100">
        <v>15</v>
      </c>
      <c r="L40" s="102">
        <f>IF(I40="USD",K40*$E$3,K40)</f>
        <v>15</v>
      </c>
      <c r="M40" s="51">
        <f>L40/$L$38</f>
        <v>1.2</v>
      </c>
      <c r="N40" s="58"/>
      <c r="O40" s="49"/>
      <c r="P40" s="105"/>
      <c r="Q40" s="105"/>
      <c r="R40" s="49"/>
      <c r="S40" s="59"/>
      <c r="T40" s="117"/>
      <c r="U40" s="117"/>
      <c r="V40" s="117"/>
      <c r="W40" s="96"/>
      <c r="X40" s="106"/>
      <c r="Y40" s="106"/>
      <c r="Z40" s="95"/>
      <c r="AA40" s="85"/>
      <c r="AC40" s="112"/>
      <c r="AD40" s="112"/>
      <c r="AE40" s="112"/>
      <c r="AF40" s="95"/>
      <c r="AG40" s="85"/>
      <c r="AI40" s="172" t="str">
        <f t="shared" si="1"/>
        <v>-</v>
      </c>
      <c r="AJ40" s="172" t="str">
        <f t="shared" si="5"/>
        <v>-</v>
      </c>
    </row>
    <row r="41" spans="1:40" x14ac:dyDescent="0.35">
      <c r="A41" s="21"/>
      <c r="B41" s="35" t="s">
        <v>97</v>
      </c>
      <c r="C41" s="21"/>
      <c r="D41" s="38"/>
      <c r="E41" s="49"/>
      <c r="F41" s="49"/>
      <c r="G41" s="49"/>
      <c r="H41" s="49"/>
      <c r="I41" s="49"/>
      <c r="J41" s="49"/>
      <c r="K41" s="99"/>
      <c r="L41" s="101">
        <f>L42</f>
        <v>12.5</v>
      </c>
      <c r="M41" s="49"/>
      <c r="N41" s="52"/>
      <c r="O41" s="49"/>
      <c r="P41" s="105"/>
      <c r="Q41" s="105"/>
      <c r="R41" s="85"/>
      <c r="S41" s="59"/>
      <c r="T41" s="117"/>
      <c r="U41" s="117"/>
      <c r="V41" s="117"/>
      <c r="W41" s="96"/>
      <c r="X41" s="106"/>
      <c r="Y41" s="106"/>
      <c r="Z41" s="95"/>
      <c r="AA41" s="85"/>
      <c r="AC41" s="112"/>
      <c r="AD41" s="112"/>
      <c r="AE41" s="112"/>
      <c r="AF41" s="95"/>
      <c r="AG41" s="85"/>
      <c r="AI41" s="172" t="str">
        <f t="shared" si="1"/>
        <v>-</v>
      </c>
      <c r="AJ41" s="172" t="str">
        <f t="shared" si="5"/>
        <v>-</v>
      </c>
    </row>
    <row r="42" spans="1:40" s="193" customFormat="1" outlineLevel="1" x14ac:dyDescent="0.35">
      <c r="A42" s="173"/>
      <c r="B42" s="173"/>
      <c r="C42" s="174" t="s">
        <v>96</v>
      </c>
      <c r="D42" s="174"/>
      <c r="E42" s="175">
        <v>46054</v>
      </c>
      <c r="F42" s="176">
        <f>YEAR(E42)</f>
        <v>2026</v>
      </c>
      <c r="G42" s="177" t="s">
        <v>39</v>
      </c>
      <c r="H42" s="177" t="s">
        <v>49</v>
      </c>
      <c r="I42" s="178" t="s">
        <v>37</v>
      </c>
      <c r="J42" s="200"/>
      <c r="K42" s="180">
        <v>12.5</v>
      </c>
      <c r="L42" s="181">
        <f>IF(I42="USD",K42*$E$3,K42)</f>
        <v>12.5</v>
      </c>
      <c r="M42" s="182">
        <f>L42/$L$41</f>
        <v>1</v>
      </c>
      <c r="N42" s="183"/>
      <c r="O42" s="197"/>
      <c r="P42" s="199"/>
      <c r="Q42" s="199"/>
      <c r="R42" s="197"/>
      <c r="S42" s="187"/>
      <c r="T42" s="201"/>
      <c r="U42" s="201"/>
      <c r="V42" s="201"/>
      <c r="W42" s="202"/>
      <c r="X42" s="203"/>
      <c r="Y42" s="203"/>
      <c r="Z42" s="204"/>
      <c r="AA42" s="205"/>
      <c r="AC42" s="206"/>
      <c r="AD42" s="206"/>
      <c r="AE42" s="206"/>
      <c r="AF42" s="204"/>
      <c r="AG42" s="205"/>
    </row>
    <row r="43" spans="1:40" outlineLevel="1" x14ac:dyDescent="0.35">
      <c r="A43" s="21"/>
      <c r="B43" s="21"/>
      <c r="C43" s="38" t="s">
        <v>57</v>
      </c>
      <c r="D43" s="38"/>
      <c r="E43" s="55">
        <v>46054</v>
      </c>
      <c r="F43" s="80">
        <f>YEAR(E43)</f>
        <v>2026</v>
      </c>
      <c r="G43" s="56" t="s">
        <v>39</v>
      </c>
      <c r="H43" s="56" t="s">
        <v>98</v>
      </c>
      <c r="I43" s="67" t="s">
        <v>37</v>
      </c>
      <c r="J43" s="84"/>
      <c r="K43" s="100">
        <v>15</v>
      </c>
      <c r="L43" s="102">
        <f>IF(I43="USD",K43*$E$3,K43)</f>
        <v>15</v>
      </c>
      <c r="M43" s="51">
        <f>L43/$L$41</f>
        <v>1.2</v>
      </c>
      <c r="N43" s="58"/>
      <c r="O43" s="49"/>
      <c r="P43" s="105"/>
      <c r="Q43" s="105"/>
      <c r="R43" s="49"/>
      <c r="S43" s="59"/>
      <c r="T43" s="117"/>
      <c r="U43" s="117"/>
      <c r="V43" s="117"/>
      <c r="W43" s="96"/>
      <c r="X43" s="106"/>
      <c r="Y43" s="106"/>
      <c r="Z43" s="95"/>
      <c r="AA43" s="85"/>
      <c r="AC43" s="112"/>
      <c r="AD43" s="112"/>
      <c r="AE43" s="112"/>
      <c r="AF43" s="95"/>
      <c r="AG43" s="85"/>
    </row>
    <row r="44" spans="1:40" x14ac:dyDescent="0.35">
      <c r="AE44" s="113"/>
    </row>
    <row r="45" spans="1:40" x14ac:dyDescent="0.35">
      <c r="L45" s="170">
        <f>SUM(L20:L21,L23)</f>
        <v>39.969629095000002</v>
      </c>
      <c r="T45" s="114">
        <f>SUMPRODUCT(T46:T49,$M$20:$M$23)</f>
        <v>0</v>
      </c>
      <c r="Y45" s="170">
        <f>SUM(Y20:Y21,Y23)</f>
        <v>295.57387406479347</v>
      </c>
      <c r="Z45" s="109">
        <f t="shared" ref="Z45" si="21">IFERROR(Y45/L45,0)</f>
        <v>7.394961643558716</v>
      </c>
      <c r="AA45" s="83">
        <f t="shared" ref="AA45" si="22">IFERROR(((Z45^(1/$T45))-1),0)</f>
        <v>0</v>
      </c>
      <c r="AE45" s="113"/>
    </row>
    <row r="46" spans="1:40" x14ac:dyDescent="0.35">
      <c r="AE46" s="113"/>
    </row>
    <row r="47" spans="1:40" x14ac:dyDescent="0.35">
      <c r="AE47" s="113"/>
    </row>
    <row r="48" spans="1:40" x14ac:dyDescent="0.35">
      <c r="C48" s="119" t="s">
        <v>56</v>
      </c>
      <c r="D48" s="119"/>
      <c r="E48" s="119"/>
      <c r="F48" s="120"/>
      <c r="I48" s="72"/>
      <c r="K48" s="76" t="s">
        <v>59</v>
      </c>
      <c r="L48" s="77" t="s">
        <v>46</v>
      </c>
      <c r="M48" s="77" t="s">
        <v>65</v>
      </c>
      <c r="Q48" s="124" t="s">
        <v>60</v>
      </c>
      <c r="R48" s="132"/>
      <c r="S48" s="125"/>
      <c r="T48" s="125"/>
      <c r="U48" s="125"/>
      <c r="V48" s="132"/>
      <c r="W48" s="132"/>
      <c r="X48" s="129">
        <f>SUM(V7:V43)</f>
        <v>2.9795641456124953</v>
      </c>
    </row>
    <row r="49" spans="1:31" x14ac:dyDescent="0.35">
      <c r="C49" t="s">
        <v>114</v>
      </c>
      <c r="F49" s="118">
        <f>3124.23084340879/1000</f>
        <v>3.1242308434087898</v>
      </c>
      <c r="G49" s="72"/>
      <c r="I49" s="72"/>
      <c r="J49" s="78" t="s">
        <v>35</v>
      </c>
      <c r="K49" s="102">
        <f>SUMIF($G$7:$G$43,$J49,L$7:L$43)+F49</f>
        <v>98.402902438408788</v>
      </c>
      <c r="L49" s="102">
        <f>SUMIF($G$7:$G$43,$J49,L$7:L$43)+F49</f>
        <v>98.402902438408788</v>
      </c>
      <c r="M49" s="102">
        <f>SUMIF($G$7:$G$43,$J49,Y$7:Y$43)+F54</f>
        <v>564.13330824725097</v>
      </c>
      <c r="Q49" s="126" t="s">
        <v>63</v>
      </c>
      <c r="X49" s="130">
        <f>SUMIF($G$7:$G$43,G21,$U$7:$U$43)</f>
        <v>4.3115087068252915</v>
      </c>
    </row>
    <row r="50" spans="1:31" x14ac:dyDescent="0.35">
      <c r="C50" s="42" t="s">
        <v>58</v>
      </c>
      <c r="D50" s="39"/>
      <c r="F50" s="118">
        <f>92-(L33+L22+L36+L31+L39+L42)</f>
        <v>16</v>
      </c>
      <c r="J50" s="78" t="s">
        <v>39</v>
      </c>
      <c r="K50" s="102">
        <f>SUMIF($G$7:$G$43,$J50,L$7:L$43)+F50</f>
        <v>156.7465</v>
      </c>
      <c r="L50" s="102">
        <f>SUMIF($G$7:$G$43,$J50,L$7:L$43)-L40-L43-L39-L42</f>
        <v>85.746499999999997</v>
      </c>
      <c r="M50" s="102">
        <f>SUMIF($G$7:$G$43,$J50,Y$7:Y$43)+F55</f>
        <v>222.06315444171378</v>
      </c>
      <c r="Q50" s="126" t="s">
        <v>64</v>
      </c>
      <c r="X50" s="130">
        <f>SUMIF($G$7:$G$43,G23,$U$7:$U$43)</f>
        <v>1.4510211647282381</v>
      </c>
    </row>
    <row r="51" spans="1:31" x14ac:dyDescent="0.35">
      <c r="C51" s="121" t="s">
        <v>115</v>
      </c>
      <c r="Q51" s="126" t="s">
        <v>61</v>
      </c>
      <c r="X51" s="130">
        <f>((L22*T22)+(L33*T33)+(L36*T36)+(L31*T31))/(L22+L33+L36+L31)</f>
        <v>1.8239726027397261</v>
      </c>
    </row>
    <row r="52" spans="1:31" x14ac:dyDescent="0.35">
      <c r="J52" s="72"/>
      <c r="K52" s="76" t="s">
        <v>59</v>
      </c>
      <c r="L52" s="77" t="s">
        <v>46</v>
      </c>
      <c r="M52" s="77" t="s">
        <v>65</v>
      </c>
      <c r="Q52" s="127" t="s">
        <v>62</v>
      </c>
      <c r="R52" s="128"/>
      <c r="S52" s="128"/>
      <c r="T52" s="128"/>
      <c r="U52" s="128"/>
      <c r="V52" s="128"/>
      <c r="W52" s="128"/>
      <c r="X52" s="131">
        <f>(L22+L33+L36+L31)/SUMIF(H7:H43,H22,L7:L43)</f>
        <v>0.67105263157894735</v>
      </c>
    </row>
    <row r="53" spans="1:31" x14ac:dyDescent="0.35">
      <c r="A53" s="21"/>
      <c r="B53" s="21"/>
      <c r="C53" s="119" t="s">
        <v>79</v>
      </c>
      <c r="D53" s="119"/>
      <c r="E53" s="119"/>
      <c r="F53" s="120"/>
      <c r="H53" s="55"/>
      <c r="J53" s="78" t="s">
        <v>35</v>
      </c>
      <c r="K53" s="104">
        <f>SUMIF($G$7:$G$43,$J53,AC$7:AC$43)+(F49/$E$3)</f>
        <v>17.94163010897347</v>
      </c>
      <c r="L53" s="104">
        <f>SUMIF($G$7:$G$43,$J53,AC$7:AC$43)+(F49/$E$3)</f>
        <v>17.94163010897347</v>
      </c>
      <c r="M53" s="104">
        <f>SUMIF($G$7:$G$43,$J53,AE$7:AE$43)+(F54/E3)</f>
        <v>102.56969240859111</v>
      </c>
      <c r="N53" s="52"/>
      <c r="O53" s="57"/>
      <c r="P53" s="57"/>
      <c r="Q53" s="69"/>
      <c r="R53" s="68"/>
      <c r="S53" s="59"/>
      <c r="T53" s="60"/>
      <c r="U53" s="60"/>
      <c r="V53" s="70"/>
      <c r="X53" s="71"/>
      <c r="Y53" s="61"/>
      <c r="Z53" s="60"/>
      <c r="AA53" s="60"/>
      <c r="AC53" s="61"/>
      <c r="AE53" s="40"/>
    </row>
    <row r="54" spans="1:31" x14ac:dyDescent="0.35">
      <c r="A54" s="21"/>
      <c r="B54" s="21"/>
      <c r="C54" t="s">
        <v>35</v>
      </c>
      <c r="F54" s="41">
        <v>10.792277044999999</v>
      </c>
      <c r="H54" s="55"/>
      <c r="J54" s="78" t="s">
        <v>39</v>
      </c>
      <c r="K54" s="104">
        <f>SUMIF($G$7:$G$43,$J54,AC$7:AC$43)+(F54/$E$3)</f>
        <v>17.701771002642321</v>
      </c>
      <c r="L54" s="104">
        <f ca="1">SUMIF($G$7:$G$43,$J54,AC$7:AC$37)</f>
        <v>15.739538812642323</v>
      </c>
      <c r="M54" s="104">
        <f>SUMIF($G$7:$G$43,$J54,AE$7:AE$43)+(F55/E3)</f>
        <v>40.375118989402502</v>
      </c>
      <c r="N54" s="52"/>
      <c r="O54" s="57"/>
      <c r="P54" s="57"/>
      <c r="Q54" s="72"/>
      <c r="R54" s="68"/>
      <c r="S54" s="59"/>
      <c r="T54" s="60"/>
      <c r="U54" s="60"/>
      <c r="X54" s="71"/>
      <c r="Y54" s="61"/>
      <c r="Z54" s="60"/>
      <c r="AA54" s="60"/>
      <c r="AC54" s="61"/>
      <c r="AE54" s="40"/>
    </row>
    <row r="55" spans="1:31" x14ac:dyDescent="0.35">
      <c r="A55" s="39"/>
      <c r="B55" s="39"/>
      <c r="C55" t="s">
        <v>39</v>
      </c>
      <c r="F55" s="41">
        <v>8.1212499999999999</v>
      </c>
      <c r="H55" s="72"/>
      <c r="N55" s="72"/>
      <c r="O55" s="72"/>
      <c r="P55" s="72"/>
      <c r="Q55" s="72"/>
      <c r="R55" s="72"/>
      <c r="S55" s="72"/>
      <c r="T55" s="72"/>
      <c r="U55" s="72"/>
      <c r="V55" s="72"/>
      <c r="X55" s="72"/>
      <c r="Y55" s="72"/>
      <c r="Z55" s="72"/>
      <c r="AA55" s="72"/>
      <c r="AC55" s="72"/>
      <c r="AE55" s="39"/>
    </row>
    <row r="56" spans="1:31" x14ac:dyDescent="0.35">
      <c r="A56" s="39"/>
      <c r="B56" s="39"/>
      <c r="H56" s="72"/>
      <c r="N56" s="72"/>
      <c r="O56" s="72"/>
      <c r="P56" s="72"/>
      <c r="Q56" s="72"/>
      <c r="R56" s="72"/>
      <c r="S56" s="72"/>
      <c r="T56" s="72"/>
      <c r="U56" s="72"/>
      <c r="V56" s="70"/>
      <c r="X56" s="72"/>
      <c r="Y56" s="72"/>
      <c r="Z56" s="72"/>
      <c r="AA56" s="72"/>
      <c r="AC56" s="72"/>
      <c r="AE56" s="40"/>
    </row>
    <row r="57" spans="1:31" x14ac:dyDescent="0.35">
      <c r="A57" s="39"/>
      <c r="B57" s="39"/>
      <c r="C57" s="167" t="s">
        <v>113</v>
      </c>
      <c r="H57" s="72"/>
      <c r="I57" s="72"/>
      <c r="J57" s="72"/>
      <c r="K57" s="72"/>
      <c r="M57" s="72"/>
      <c r="N57" s="72"/>
      <c r="O57" s="72"/>
      <c r="P57" s="72"/>
      <c r="Q57" s="72"/>
      <c r="X57" s="72"/>
      <c r="Y57" s="72"/>
      <c r="Z57" s="72"/>
      <c r="AA57" s="72"/>
      <c r="AE57" s="40"/>
    </row>
    <row r="58" spans="1:31" x14ac:dyDescent="0.35">
      <c r="A58" s="39"/>
      <c r="B58" s="39"/>
      <c r="C58" t="s">
        <v>111</v>
      </c>
      <c r="H58" s="73"/>
      <c r="K58" s="72"/>
      <c r="M58" s="72"/>
      <c r="N58" s="72"/>
      <c r="O58" s="72"/>
      <c r="P58" s="72"/>
      <c r="Q58" s="72"/>
      <c r="X58" s="60"/>
      <c r="Y58" s="72"/>
      <c r="Z58" s="72"/>
      <c r="AA58" s="72"/>
      <c r="AE58" s="40"/>
    </row>
    <row r="59" spans="1:31" x14ac:dyDescent="0.35">
      <c r="A59" s="39"/>
      <c r="B59" s="39"/>
      <c r="C59" t="s">
        <v>110</v>
      </c>
      <c r="H59" s="73"/>
      <c r="K59" s="72"/>
      <c r="M59" s="72"/>
      <c r="N59" s="72"/>
      <c r="O59" s="72"/>
      <c r="P59" s="72"/>
      <c r="Q59" s="72"/>
      <c r="X59" s="72"/>
      <c r="Y59" s="74"/>
      <c r="Z59" s="72"/>
      <c r="AA59" s="72"/>
      <c r="AE59" s="40"/>
    </row>
    <row r="60" spans="1:31" x14ac:dyDescent="0.35">
      <c r="A60" s="39"/>
      <c r="B60" s="39"/>
      <c r="C60" t="s">
        <v>109</v>
      </c>
      <c r="H60" s="73"/>
      <c r="K60" s="72"/>
      <c r="L60" s="72"/>
      <c r="M60" s="72"/>
      <c r="N60" s="72"/>
      <c r="O60" s="72"/>
      <c r="P60" s="72"/>
      <c r="Q60" s="72"/>
      <c r="X60" s="72"/>
      <c r="Y60" s="72"/>
      <c r="Z60" s="72"/>
      <c r="AA60" s="72"/>
      <c r="AC60" s="72"/>
      <c r="AE60" s="40"/>
    </row>
    <row r="61" spans="1:31" x14ac:dyDescent="0.35">
      <c r="A61" s="39"/>
      <c r="B61" s="39"/>
      <c r="C61" t="s">
        <v>116</v>
      </c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0"/>
      <c r="X61" s="72"/>
      <c r="Y61" s="72"/>
      <c r="Z61" s="72"/>
      <c r="AA61" s="72"/>
      <c r="AC61" s="72"/>
      <c r="AE61" s="40"/>
    </row>
    <row r="62" spans="1:31" x14ac:dyDescent="0.35">
      <c r="L62" s="72"/>
      <c r="AC62" s="72"/>
    </row>
    <row r="63" spans="1:31" x14ac:dyDescent="0.35">
      <c r="L63" s="72"/>
      <c r="AC63" s="72"/>
    </row>
    <row r="64" spans="1:31" x14ac:dyDescent="0.35">
      <c r="L64" s="72"/>
      <c r="AC64" s="72"/>
    </row>
  </sheetData>
  <dataValidations count="2">
    <dataValidation type="list" allowBlank="1" showInputMessage="1" showErrorMessage="1" sqref="I33 I36 I42:I43 I31 I22 I39:I40" xr:uid="{9FE52255-DF5E-417D-AE7B-303A713FCF18}">
      <formula1>#REF!</formula1>
    </dataValidation>
    <dataValidation allowBlank="1" showInputMessage="1" showErrorMessage="1" sqref="N33 N22 N42:N43 N36 N39:N40 N31 AC53:AC54 L36 L33 L39:L40 L42:L43 L31 L22 N53:N54" xr:uid="{64FCC388-9D0C-47DB-BB16-3A8F3791F9D9}"/>
  </dataValidations>
  <pageMargins left="0.7" right="0.7" top="0.75" bottom="0.75" header="0.3" footer="0.3"/>
  <ignoredErrors>
    <ignoredError sqref="X18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DBB7-46FF-4A3C-A09F-F891B96F18B5}">
  <sheetPr>
    <tabColor theme="0"/>
    <outlinePr summaryBelow="0" summaryRight="0"/>
  </sheetPr>
  <dimension ref="A1:G90"/>
  <sheetViews>
    <sheetView showGridLines="0" zoomScale="55" zoomScaleNormal="55" workbookViewId="0">
      <pane ySplit="3" topLeftCell="A4" activePane="bottomLeft" state="frozen"/>
      <selection pane="bottomLeft" activeCell="E38" sqref="E38"/>
    </sheetView>
  </sheetViews>
  <sheetFormatPr defaultColWidth="9.1796875" defaultRowHeight="15" customHeight="1" x14ac:dyDescent="0.25"/>
  <cols>
    <col min="1" max="1" width="8.453125" style="87" customWidth="1"/>
    <col min="2" max="2" width="8.81640625" style="87" customWidth="1"/>
    <col min="3" max="3" width="8.1796875" style="87" customWidth="1"/>
    <col min="4" max="4" width="10.1796875" style="87" customWidth="1"/>
    <col min="5" max="5" width="21.1796875" style="87" customWidth="1"/>
    <col min="6" max="7" width="8.81640625" style="87" customWidth="1"/>
    <col min="8" max="16384" width="9.1796875" style="87"/>
  </cols>
  <sheetData>
    <row r="1" spans="1:7" ht="15" customHeight="1" x14ac:dyDescent="0.3">
      <c r="A1" s="86" t="s">
        <v>83</v>
      </c>
    </row>
    <row r="3" spans="1:7" ht="15" customHeight="1" x14ac:dyDescent="0.3">
      <c r="A3" s="90" t="s">
        <v>0</v>
      </c>
      <c r="B3" s="90" t="s">
        <v>84</v>
      </c>
      <c r="C3" s="90" t="s">
        <v>85</v>
      </c>
      <c r="D3" s="90" t="s">
        <v>86</v>
      </c>
      <c r="E3" s="90" t="s">
        <v>87</v>
      </c>
      <c r="F3" s="90" t="s">
        <v>88</v>
      </c>
      <c r="G3" s="90" t="s">
        <v>89</v>
      </c>
    </row>
    <row r="4" spans="1:7" ht="15" customHeight="1" x14ac:dyDescent="0.25">
      <c r="A4" s="88">
        <v>45870</v>
      </c>
      <c r="B4" s="91">
        <v>5.4280999999999997</v>
      </c>
      <c r="C4" s="92">
        <v>-0.17044999999999999</v>
      </c>
      <c r="D4" s="92">
        <v>-3.04453831795733</v>
      </c>
      <c r="E4" s="92">
        <v>36.317633320358098</v>
      </c>
      <c r="F4" s="91">
        <v>5.5490000000000004</v>
      </c>
      <c r="G4" s="91">
        <v>5.3920500000000002</v>
      </c>
    </row>
    <row r="5" spans="1:7" ht="15" customHeight="1" x14ac:dyDescent="0.25">
      <c r="A5" s="89">
        <v>45839</v>
      </c>
      <c r="B5" s="93">
        <v>5.5985500000000004</v>
      </c>
      <c r="C5" s="94">
        <v>0.14069999999999999</v>
      </c>
      <c r="D5" s="94">
        <v>2.5779381991077202</v>
      </c>
      <c r="E5" s="94">
        <v>40.598199374678202</v>
      </c>
      <c r="F5" s="93">
        <v>5.6046500000000004</v>
      </c>
      <c r="G5" s="93">
        <v>5.4067499999999997</v>
      </c>
    </row>
    <row r="6" spans="1:7" ht="15" customHeight="1" x14ac:dyDescent="0.25">
      <c r="A6" s="88">
        <v>45809</v>
      </c>
      <c r="B6" s="91">
        <v>5.4578499999999996</v>
      </c>
      <c r="C6" s="92">
        <v>-0.2742</v>
      </c>
      <c r="D6" s="92">
        <v>-4.7836288936767897</v>
      </c>
      <c r="E6" s="92">
        <v>37.064754705608998</v>
      </c>
      <c r="F6" s="91">
        <v>5.6882999999999999</v>
      </c>
      <c r="G6" s="91">
        <v>5.4578499999999996</v>
      </c>
    </row>
    <row r="7" spans="1:7" ht="15" customHeight="1" x14ac:dyDescent="0.25">
      <c r="A7" s="89">
        <v>45778</v>
      </c>
      <c r="B7" s="93">
        <v>5.7320500000000001</v>
      </c>
      <c r="C7" s="94">
        <v>7.0649999999999602E-2</v>
      </c>
      <c r="D7" s="94">
        <v>1.2479245416328</v>
      </c>
      <c r="E7" s="94">
        <v>43.950828111854698</v>
      </c>
      <c r="F7" s="93">
        <v>5.7401499999999999</v>
      </c>
      <c r="G7" s="93">
        <v>5.6146000000000003</v>
      </c>
    </row>
    <row r="8" spans="1:7" ht="15" customHeight="1" x14ac:dyDescent="0.25">
      <c r="A8" s="88">
        <v>45748</v>
      </c>
      <c r="B8" s="91">
        <v>5.6614000000000004</v>
      </c>
      <c r="C8" s="92">
        <v>-6.6249999999999198E-2</v>
      </c>
      <c r="D8" s="92">
        <v>-1.15666983841539</v>
      </c>
      <c r="E8" s="92">
        <v>42.1765717801579</v>
      </c>
      <c r="F8" s="91">
        <v>6.06325</v>
      </c>
      <c r="G8" s="91">
        <v>5.5967500000000001</v>
      </c>
    </row>
    <row r="9" spans="1:7" ht="15" customHeight="1" x14ac:dyDescent="0.25">
      <c r="A9" s="89">
        <v>45717</v>
      </c>
      <c r="B9" s="93">
        <v>5.7276499999999997</v>
      </c>
      <c r="C9" s="94">
        <v>-0.14085</v>
      </c>
      <c r="D9" s="94">
        <v>-2.4001022407770298</v>
      </c>
      <c r="E9" s="94">
        <v>43.840329486809203</v>
      </c>
      <c r="F9" s="93">
        <v>5.8876499999999998</v>
      </c>
      <c r="G9" s="93">
        <v>5.6500500000000002</v>
      </c>
    </row>
    <row r="10" spans="1:7" ht="15" customHeight="1" x14ac:dyDescent="0.25">
      <c r="A10" s="88">
        <v>45689</v>
      </c>
      <c r="B10" s="91">
        <v>5.8685</v>
      </c>
      <c r="C10" s="92">
        <v>2.70000000000001E-2</v>
      </c>
      <c r="D10" s="92">
        <v>0.46221004878883498</v>
      </c>
      <c r="E10" s="92">
        <v>47.3775411544595</v>
      </c>
      <c r="F10" s="91">
        <v>5.8685</v>
      </c>
      <c r="G10" s="91">
        <v>5.6798000000000002</v>
      </c>
    </row>
    <row r="11" spans="1:7" ht="15" customHeight="1" x14ac:dyDescent="0.25">
      <c r="A11" s="89">
        <v>45658</v>
      </c>
      <c r="B11" s="93">
        <v>5.8414999999999999</v>
      </c>
      <c r="C11" s="94">
        <v>-0.33634999999999998</v>
      </c>
      <c r="D11" s="94">
        <v>-5.4444507393348802</v>
      </c>
      <c r="E11" s="94">
        <v>46.699481409862003</v>
      </c>
      <c r="F11" s="93">
        <v>6.1867000000000001</v>
      </c>
      <c r="G11" s="93">
        <v>5.8414999999999999</v>
      </c>
    </row>
    <row r="12" spans="1:7" ht="15" customHeight="1" x14ac:dyDescent="0.25">
      <c r="A12" s="88">
        <v>45627</v>
      </c>
      <c r="B12" s="91">
        <v>6.1778500000000003</v>
      </c>
      <c r="C12" s="92">
        <v>0.2072</v>
      </c>
      <c r="D12" s="92">
        <v>3.4703089278386798</v>
      </c>
      <c r="E12" s="92">
        <v>55.146347894875603</v>
      </c>
      <c r="F12" s="91">
        <v>6.2236000000000002</v>
      </c>
      <c r="G12" s="91">
        <v>5.9720000000000004</v>
      </c>
    </row>
    <row r="13" spans="1:7" ht="15" customHeight="1" x14ac:dyDescent="0.25">
      <c r="A13" s="89">
        <v>45597</v>
      </c>
      <c r="B13" s="93">
        <v>5.97065</v>
      </c>
      <c r="C13" s="94">
        <v>0.18189999999999901</v>
      </c>
      <c r="D13" s="94">
        <v>3.1423018786439201</v>
      </c>
      <c r="E13" s="94">
        <v>49.942867188186597</v>
      </c>
      <c r="F13" s="93">
        <v>5.9930000000000003</v>
      </c>
      <c r="G13" s="93">
        <v>5.6772</v>
      </c>
    </row>
    <row r="14" spans="1:7" ht="15" customHeight="1" x14ac:dyDescent="0.25">
      <c r="A14" s="88">
        <v>45566</v>
      </c>
      <c r="B14" s="91">
        <v>5.7887500000000003</v>
      </c>
      <c r="C14" s="92">
        <v>0.34294999999999998</v>
      </c>
      <c r="D14" s="92">
        <v>6.2975136802673601</v>
      </c>
      <c r="E14" s="92">
        <v>45.374753575509402</v>
      </c>
      <c r="F14" s="91">
        <v>5.7887500000000003</v>
      </c>
      <c r="G14" s="91">
        <v>5.4340999999999999</v>
      </c>
    </row>
    <row r="15" spans="1:7" ht="15" customHeight="1" x14ac:dyDescent="0.25">
      <c r="A15" s="89">
        <v>45536</v>
      </c>
      <c r="B15" s="93">
        <v>5.4458000000000002</v>
      </c>
      <c r="C15" s="94">
        <v>-0.217499999999999</v>
      </c>
      <c r="D15" s="94">
        <v>-3.8405170130489101</v>
      </c>
      <c r="E15" s="94">
        <v>36.762139152927503</v>
      </c>
      <c r="F15" s="93">
        <v>5.6694000000000004</v>
      </c>
      <c r="G15" s="93">
        <v>5.4243499999999996</v>
      </c>
    </row>
    <row r="16" spans="1:7" ht="15" customHeight="1" x14ac:dyDescent="0.25">
      <c r="A16" s="88">
        <v>45505</v>
      </c>
      <c r="B16" s="91">
        <v>5.6632999999999996</v>
      </c>
      <c r="C16" s="92">
        <v>1.05499999999993E-2</v>
      </c>
      <c r="D16" s="92">
        <v>0.18663482375833501</v>
      </c>
      <c r="E16" s="92">
        <v>42.224287095518498</v>
      </c>
      <c r="F16" s="91">
        <v>5.7763999999999998</v>
      </c>
      <c r="G16" s="91">
        <v>5.4116999999999997</v>
      </c>
    </row>
    <row r="17" spans="1:7" ht="15" customHeight="1" x14ac:dyDescent="0.25">
      <c r="A17" s="89">
        <v>45474</v>
      </c>
      <c r="B17" s="93">
        <v>5.6527500000000002</v>
      </c>
      <c r="C17" s="94">
        <v>9.8299999999999998E-2</v>
      </c>
      <c r="D17" s="94">
        <v>1.76975218068395</v>
      </c>
      <c r="E17" s="94">
        <v>41.959341528647997</v>
      </c>
      <c r="F17" s="93">
        <v>5.6647499999999997</v>
      </c>
      <c r="G17" s="93">
        <v>5.3997000000000002</v>
      </c>
    </row>
    <row r="18" spans="1:7" ht="15" customHeight="1" x14ac:dyDescent="0.25">
      <c r="A18" s="88">
        <v>45444</v>
      </c>
      <c r="B18" s="91">
        <v>5.5544500000000001</v>
      </c>
      <c r="C18" s="92">
        <v>0.29859999999999998</v>
      </c>
      <c r="D18" s="92">
        <v>5.6812884690392504</v>
      </c>
      <c r="E18" s="92">
        <v>39.490701791835598</v>
      </c>
      <c r="F18" s="91">
        <v>5.5544500000000001</v>
      </c>
      <c r="G18" s="91">
        <v>5.2319500000000003</v>
      </c>
    </row>
    <row r="19" spans="1:7" ht="15" customHeight="1" x14ac:dyDescent="0.25">
      <c r="A19" s="89">
        <v>45413</v>
      </c>
      <c r="B19" s="93">
        <v>5.2558499999999997</v>
      </c>
      <c r="C19" s="94">
        <v>7.2749999999999995E-2</v>
      </c>
      <c r="D19" s="94">
        <v>1.4036001620651699</v>
      </c>
      <c r="E19" s="94">
        <v>31.991863283064799</v>
      </c>
      <c r="F19" s="93">
        <v>5.2558499999999997</v>
      </c>
      <c r="G19" s="93">
        <v>5.0508499999999996</v>
      </c>
    </row>
    <row r="20" spans="1:7" ht="15" customHeight="1" x14ac:dyDescent="0.25">
      <c r="A20" s="88">
        <v>45383</v>
      </c>
      <c r="B20" s="91">
        <v>5.1830999999999996</v>
      </c>
      <c r="C20" s="92">
        <v>0.17751899999999901</v>
      </c>
      <c r="D20" s="92">
        <v>3.5464214843391599</v>
      </c>
      <c r="E20" s="92">
        <v>30.1648689712326</v>
      </c>
      <c r="F20" s="91">
        <v>5.2801</v>
      </c>
      <c r="G20" s="91">
        <v>5.0067500000000003</v>
      </c>
    </row>
    <row r="21" spans="1:7" ht="15" customHeight="1" x14ac:dyDescent="0.25">
      <c r="A21" s="89">
        <v>45352</v>
      </c>
      <c r="B21" s="93">
        <v>5.0055810000000003</v>
      </c>
      <c r="C21" s="94">
        <v>3.6930999999999999E-2</v>
      </c>
      <c r="D21" s="94">
        <v>0.74328036790678398</v>
      </c>
      <c r="E21" s="94">
        <v>25.706776830447399</v>
      </c>
      <c r="F21" s="93">
        <v>5.0221499999999999</v>
      </c>
      <c r="G21" s="93">
        <v>4.9348000000000001</v>
      </c>
    </row>
    <row r="22" spans="1:7" ht="15" customHeight="1" x14ac:dyDescent="0.25">
      <c r="A22" s="88">
        <v>45323</v>
      </c>
      <c r="B22" s="91">
        <v>4.9686500000000002</v>
      </c>
      <c r="C22" s="92">
        <v>2.7550000000000598E-2</v>
      </c>
      <c r="D22" s="92">
        <v>0.55756815284047001</v>
      </c>
      <c r="E22" s="92">
        <v>24.779316666457301</v>
      </c>
      <c r="F22" s="91">
        <v>5.0098500000000001</v>
      </c>
      <c r="G22" s="91">
        <v>4.9175000000000004</v>
      </c>
    </row>
    <row r="23" spans="1:7" ht="15" customHeight="1" x14ac:dyDescent="0.25">
      <c r="A23" s="89">
        <v>45292</v>
      </c>
      <c r="B23" s="93">
        <v>4.9410999999999996</v>
      </c>
      <c r="C23" s="94">
        <v>8.3499999999999894E-2</v>
      </c>
      <c r="D23" s="94">
        <v>1.71895586297761</v>
      </c>
      <c r="E23" s="94">
        <v>24.087444593729199</v>
      </c>
      <c r="F23" s="93">
        <v>4.9786999999999999</v>
      </c>
      <c r="G23" s="93">
        <v>4.8494999999999999</v>
      </c>
    </row>
    <row r="24" spans="1:7" ht="15" customHeight="1" x14ac:dyDescent="0.25">
      <c r="A24" s="88">
        <v>45261</v>
      </c>
      <c r="B24" s="91">
        <v>4.8575999999999997</v>
      </c>
      <c r="C24" s="92">
        <v>-7.4650000000000105E-2</v>
      </c>
      <c r="D24" s="92">
        <v>-1.5135080338587901</v>
      </c>
      <c r="E24" s="92">
        <v>21.9904820502517</v>
      </c>
      <c r="F24" s="91">
        <v>4.9581</v>
      </c>
      <c r="G24" s="91">
        <v>4.8252499999999996</v>
      </c>
    </row>
    <row r="25" spans="1:7" ht="15" customHeight="1" x14ac:dyDescent="0.25">
      <c r="A25" s="89">
        <v>45231</v>
      </c>
      <c r="B25" s="93">
        <v>4.9322499999999998</v>
      </c>
      <c r="C25" s="94">
        <v>-0.11075</v>
      </c>
      <c r="D25" s="94">
        <v>-2.19611342454888</v>
      </c>
      <c r="E25" s="94">
        <v>23.8651916774444</v>
      </c>
      <c r="F25" s="93">
        <v>5.0169499999999996</v>
      </c>
      <c r="G25" s="93">
        <v>4.8557499999999996</v>
      </c>
    </row>
    <row r="26" spans="1:7" ht="15" customHeight="1" x14ac:dyDescent="0.25">
      <c r="A26" s="88">
        <v>45200</v>
      </c>
      <c r="B26" s="91">
        <v>5.0430000000000001</v>
      </c>
      <c r="C26" s="92">
        <v>3.7799999999999799E-2</v>
      </c>
      <c r="D26" s="92">
        <v>0.75521457684008997</v>
      </c>
      <c r="E26" s="92">
        <v>26.646492296487899</v>
      </c>
      <c r="F26" s="91">
        <v>5.1871999999999998</v>
      </c>
      <c r="G26" s="91">
        <v>4.9502499999999996</v>
      </c>
    </row>
    <row r="27" spans="1:7" ht="15" customHeight="1" x14ac:dyDescent="0.25">
      <c r="A27" s="89">
        <v>45170</v>
      </c>
      <c r="B27" s="93">
        <v>5.0052000000000003</v>
      </c>
      <c r="C27" s="94">
        <v>5.4250000000000499E-2</v>
      </c>
      <c r="D27" s="94">
        <v>1.09574930063929</v>
      </c>
      <c r="E27" s="94">
        <v>25.697208654051401</v>
      </c>
      <c r="F27" s="93">
        <v>5.0485499999999996</v>
      </c>
      <c r="G27" s="93">
        <v>4.8471000000000002</v>
      </c>
    </row>
    <row r="28" spans="1:7" ht="15" customHeight="1" x14ac:dyDescent="0.25">
      <c r="A28" s="88">
        <v>45139</v>
      </c>
      <c r="B28" s="91">
        <v>4.9509499999999997</v>
      </c>
      <c r="C28" s="92">
        <v>0.19389999999999999</v>
      </c>
      <c r="D28" s="92">
        <v>4.0760555386216204</v>
      </c>
      <c r="E28" s="92">
        <v>24.3348108338879</v>
      </c>
      <c r="F28" s="91">
        <v>4.9882499999999999</v>
      </c>
      <c r="G28" s="91">
        <v>4.7742500000000003</v>
      </c>
    </row>
    <row r="29" spans="1:7" ht="15" customHeight="1" x14ac:dyDescent="0.25">
      <c r="A29" s="89">
        <v>45108</v>
      </c>
      <c r="B29" s="93">
        <v>4.7570499999999996</v>
      </c>
      <c r="C29" s="94">
        <v>-6.6950000000000204E-2</v>
      </c>
      <c r="D29" s="94">
        <v>-1.3878524046434499</v>
      </c>
      <c r="E29" s="94">
        <v>19.4653373347229</v>
      </c>
      <c r="F29" s="93">
        <v>4.9028499999999999</v>
      </c>
      <c r="G29" s="93">
        <v>4.7215999999999996</v>
      </c>
    </row>
    <row r="30" spans="1:7" ht="15" customHeight="1" x14ac:dyDescent="0.25">
      <c r="A30" s="88">
        <v>45078</v>
      </c>
      <c r="B30" s="91">
        <v>4.8239999999999998</v>
      </c>
      <c r="C30" s="92">
        <v>-0.2979</v>
      </c>
      <c r="D30" s="92">
        <v>-5.8162010191530502</v>
      </c>
      <c r="E30" s="92">
        <v>21.1466743680859</v>
      </c>
      <c r="F30" s="91">
        <v>5.0364000000000004</v>
      </c>
      <c r="G30" s="91">
        <v>4.7695499999999997</v>
      </c>
    </row>
    <row r="31" spans="1:7" ht="15" customHeight="1" x14ac:dyDescent="0.25">
      <c r="A31" s="89">
        <v>45047</v>
      </c>
      <c r="B31" s="93">
        <v>5.1219000000000001</v>
      </c>
      <c r="C31" s="94">
        <v>0.11905</v>
      </c>
      <c r="D31" s="94">
        <v>2.3796436031462198</v>
      </c>
      <c r="E31" s="94">
        <v>28.627933550144999</v>
      </c>
      <c r="F31" s="93">
        <v>5.1219000000000001</v>
      </c>
      <c r="G31" s="93">
        <v>4.9092500000000001</v>
      </c>
    </row>
    <row r="32" spans="1:7" ht="15" customHeight="1" x14ac:dyDescent="0.25">
      <c r="A32" s="88">
        <v>45017</v>
      </c>
      <c r="B32" s="91">
        <v>5.0028499999999996</v>
      </c>
      <c r="C32" s="92">
        <v>-6.7400000000000099E-2</v>
      </c>
      <c r="D32" s="92">
        <v>-1.3293230116858099</v>
      </c>
      <c r="E32" s="92">
        <v>25.638192342947502</v>
      </c>
      <c r="F32" s="91">
        <v>5.0810000000000004</v>
      </c>
      <c r="G32" s="91">
        <v>4.90585</v>
      </c>
    </row>
    <row r="33" spans="1:7" ht="15" customHeight="1" x14ac:dyDescent="0.25">
      <c r="A33" s="89">
        <v>44986</v>
      </c>
      <c r="B33" s="93">
        <v>5.0702499999999997</v>
      </c>
      <c r="C33" s="94">
        <v>-0.15045</v>
      </c>
      <c r="D33" s="94">
        <v>-2.8817974601107101</v>
      </c>
      <c r="E33" s="94">
        <v>27.3308303720538</v>
      </c>
      <c r="F33" s="93">
        <v>5.3077500000000004</v>
      </c>
      <c r="G33" s="93">
        <v>5.0702499999999997</v>
      </c>
    </row>
    <row r="34" spans="1:7" ht="15" customHeight="1" x14ac:dyDescent="0.25">
      <c r="A34" s="88">
        <v>44958</v>
      </c>
      <c r="B34" s="91">
        <v>5.2206999999999999</v>
      </c>
      <c r="C34" s="92">
        <v>0.129249999999999</v>
      </c>
      <c r="D34" s="92">
        <v>2.5385695626982399</v>
      </c>
      <c r="E34" s="92">
        <v>31.109129948894299</v>
      </c>
      <c r="F34" s="91">
        <v>5.2605000000000004</v>
      </c>
      <c r="G34" s="91">
        <v>4.9955999999999996</v>
      </c>
    </row>
    <row r="35" spans="1:7" ht="15" customHeight="1" x14ac:dyDescent="0.25">
      <c r="A35" s="89">
        <v>44927</v>
      </c>
      <c r="B35" s="93">
        <v>5.09145</v>
      </c>
      <c r="C35" s="94">
        <v>-0.188299999999999</v>
      </c>
      <c r="D35" s="94">
        <v>-3.5664567451110298</v>
      </c>
      <c r="E35" s="94">
        <v>27.863232838182299</v>
      </c>
      <c r="F35" s="93">
        <v>5.4567500000000004</v>
      </c>
      <c r="G35" s="93">
        <v>5.0743</v>
      </c>
    </row>
    <row r="36" spans="1:7" ht="15" customHeight="1" x14ac:dyDescent="0.25">
      <c r="A36" s="88">
        <v>44896</v>
      </c>
      <c r="B36" s="91">
        <v>5.2797499999999999</v>
      </c>
      <c r="C36" s="92">
        <v>2.095E-2</v>
      </c>
      <c r="D36" s="92">
        <v>0.398379858522868</v>
      </c>
      <c r="E36" s="92">
        <v>32.5920717236529</v>
      </c>
      <c r="F36" s="91">
        <v>5.3478500000000002</v>
      </c>
      <c r="G36" s="91">
        <v>5.1283500000000002</v>
      </c>
    </row>
    <row r="37" spans="1:7" ht="15" customHeight="1" x14ac:dyDescent="0.25">
      <c r="A37" s="89">
        <v>44866</v>
      </c>
      <c r="B37" s="93">
        <v>5.2587999999999999</v>
      </c>
      <c r="C37" s="94">
        <v>1.1549999999999699E-2</v>
      </c>
      <c r="D37" s="94">
        <v>0.220115298489687</v>
      </c>
      <c r="E37" s="94">
        <v>32.065947588493003</v>
      </c>
      <c r="F37" s="93">
        <v>5.4631499999999997</v>
      </c>
      <c r="G37" s="93">
        <v>5.0437000000000003</v>
      </c>
    </row>
    <row r="38" spans="1:7" ht="15" customHeight="1" x14ac:dyDescent="0.25">
      <c r="A38" s="88">
        <v>44835</v>
      </c>
      <c r="B38" s="91">
        <v>5.2472500000000002</v>
      </c>
      <c r="C38" s="92">
        <v>-0.16159999999999899</v>
      </c>
      <c r="D38" s="92">
        <v>-2.98769609066622</v>
      </c>
      <c r="E38" s="92">
        <v>31.775888697748599</v>
      </c>
      <c r="F38" s="91">
        <v>5.3384</v>
      </c>
      <c r="G38" s="91">
        <v>5.1399499999999998</v>
      </c>
    </row>
    <row r="39" spans="1:7" ht="15" customHeight="1" x14ac:dyDescent="0.25">
      <c r="A39" s="89">
        <v>44805</v>
      </c>
      <c r="B39" s="93">
        <v>5.4088500000000002</v>
      </c>
      <c r="C39" s="94">
        <v>0.22785</v>
      </c>
      <c r="D39" s="94">
        <v>4.39779965257671</v>
      </c>
      <c r="E39" s="94">
        <v>35.834201835783901</v>
      </c>
      <c r="F39" s="93">
        <v>5.4088500000000002</v>
      </c>
      <c r="G39" s="93">
        <v>5.1239999999999997</v>
      </c>
    </row>
    <row r="40" spans="1:7" ht="15" customHeight="1" x14ac:dyDescent="0.25">
      <c r="A40" s="88">
        <v>44774</v>
      </c>
      <c r="B40" s="91">
        <v>5.181</v>
      </c>
      <c r="C40" s="92">
        <v>-1.70500000000002E-2</v>
      </c>
      <c r="D40" s="92">
        <v>-0.32800761824145402</v>
      </c>
      <c r="E40" s="92">
        <v>30.112130991097299</v>
      </c>
      <c r="F40" s="91">
        <v>5.3000499999999997</v>
      </c>
      <c r="G40" s="91">
        <v>5.0427499999999998</v>
      </c>
    </row>
    <row r="41" spans="1:7" ht="15" customHeight="1" x14ac:dyDescent="0.25">
      <c r="A41" s="89">
        <v>44743</v>
      </c>
      <c r="B41" s="93">
        <v>5.1980500000000003</v>
      </c>
      <c r="C41" s="94">
        <v>-3.1399999999999602E-2</v>
      </c>
      <c r="D41" s="94">
        <v>-0.60044555354769003</v>
      </c>
      <c r="E41" s="94">
        <v>30.540313163148699</v>
      </c>
      <c r="F41" s="93">
        <v>5.4853500000000004</v>
      </c>
      <c r="G41" s="93">
        <v>5.1980500000000003</v>
      </c>
    </row>
    <row r="42" spans="1:7" ht="15" customHeight="1" x14ac:dyDescent="0.25">
      <c r="A42" s="88">
        <v>44713</v>
      </c>
      <c r="B42" s="91">
        <v>5.2294499999999999</v>
      </c>
      <c r="C42" s="92">
        <v>0.49085000000000001</v>
      </c>
      <c r="D42" s="92">
        <v>10.358544717849099</v>
      </c>
      <c r="E42" s="92">
        <v>31.328871532791702</v>
      </c>
      <c r="F42" s="91">
        <v>5.2433500000000004</v>
      </c>
      <c r="G42" s="91">
        <v>4.7836999999999996</v>
      </c>
    </row>
    <row r="43" spans="1:7" ht="15" customHeight="1" x14ac:dyDescent="0.25">
      <c r="A43" s="89">
        <v>44682</v>
      </c>
      <c r="B43" s="93">
        <v>4.7385999999999999</v>
      </c>
      <c r="C43" s="94">
        <v>-0.21360000000000001</v>
      </c>
      <c r="D43" s="94">
        <v>-4.3132345220306103</v>
      </c>
      <c r="E43" s="94">
        <v>19.001996509247899</v>
      </c>
      <c r="F43" s="93">
        <v>5.1532999999999998</v>
      </c>
      <c r="G43" s="93">
        <v>4.7309000000000001</v>
      </c>
    </row>
    <row r="44" spans="1:7" ht="15" customHeight="1" x14ac:dyDescent="0.25">
      <c r="A44" s="88">
        <v>44652</v>
      </c>
      <c r="B44" s="91">
        <v>4.9522000000000004</v>
      </c>
      <c r="C44" s="92">
        <v>0.20025000000000001</v>
      </c>
      <c r="D44" s="92">
        <v>4.2140594913667</v>
      </c>
      <c r="E44" s="92">
        <v>24.366202488730401</v>
      </c>
      <c r="F44" s="91">
        <v>5.0294999999999996</v>
      </c>
      <c r="G44" s="91">
        <v>4.6100000000000003</v>
      </c>
    </row>
    <row r="45" spans="1:7" ht="15" customHeight="1" x14ac:dyDescent="0.25">
      <c r="A45" s="89">
        <v>44621</v>
      </c>
      <c r="B45" s="93">
        <v>4.7519499999999999</v>
      </c>
      <c r="C45" s="94">
        <v>-0.39974999999999999</v>
      </c>
      <c r="D45" s="94">
        <v>-7.7595745093852404</v>
      </c>
      <c r="E45" s="94">
        <v>19.337259382965598</v>
      </c>
      <c r="F45" s="93">
        <v>5.2084000000000001</v>
      </c>
      <c r="G45" s="93">
        <v>4.7484500000000001</v>
      </c>
    </row>
    <row r="46" spans="1:7" ht="15" customHeight="1" x14ac:dyDescent="0.25">
      <c r="A46" s="88">
        <v>44593</v>
      </c>
      <c r="B46" s="91">
        <v>5.1516999999999999</v>
      </c>
      <c r="C46" s="92">
        <v>-0.158299999999999</v>
      </c>
      <c r="D46" s="92">
        <v>-2.9811676082862499</v>
      </c>
      <c r="E46" s="92">
        <v>29.376310601589601</v>
      </c>
      <c r="F46" s="91">
        <v>5.3450499999999996</v>
      </c>
      <c r="G46" s="91">
        <v>5.0285000000000002</v>
      </c>
    </row>
    <row r="47" spans="1:7" ht="15" customHeight="1" x14ac:dyDescent="0.25">
      <c r="A47" s="89">
        <v>44562</v>
      </c>
      <c r="B47" s="93">
        <v>5.31</v>
      </c>
      <c r="C47" s="94">
        <v>-0.26</v>
      </c>
      <c r="D47" s="94">
        <v>-4.6678635547576404</v>
      </c>
      <c r="E47" s="94">
        <v>33.351749770840897</v>
      </c>
      <c r="F47" s="93">
        <v>5.7</v>
      </c>
      <c r="G47" s="93">
        <v>5.31</v>
      </c>
    </row>
    <row r="48" spans="1:7" ht="15" customHeight="1" x14ac:dyDescent="0.25">
      <c r="A48" s="88">
        <v>44531</v>
      </c>
      <c r="B48" s="91">
        <v>5.57</v>
      </c>
      <c r="C48" s="92">
        <v>-7.8649999999999595E-2</v>
      </c>
      <c r="D48" s="92">
        <v>-1.3923680879502101</v>
      </c>
      <c r="E48" s="92">
        <v>39.881213978075998</v>
      </c>
      <c r="F48" s="91">
        <v>5.74465</v>
      </c>
      <c r="G48" s="91">
        <v>5.5502000000000002</v>
      </c>
    </row>
    <row r="49" spans="1:7" ht="15" customHeight="1" x14ac:dyDescent="0.25">
      <c r="A49" s="89">
        <v>44501</v>
      </c>
      <c r="B49" s="93">
        <v>5.6486499999999999</v>
      </c>
      <c r="C49" s="94">
        <v>1.1650000000000301E-2</v>
      </c>
      <c r="D49" s="94">
        <v>0.20667021465319199</v>
      </c>
      <c r="E49" s="94">
        <v>41.856376900764701</v>
      </c>
      <c r="F49" s="93">
        <v>5.6842499999999996</v>
      </c>
      <c r="G49" s="93">
        <v>5.3974500000000001</v>
      </c>
    </row>
    <row r="50" spans="1:7" ht="15" customHeight="1" x14ac:dyDescent="0.25">
      <c r="A50" s="88">
        <v>44470</v>
      </c>
      <c r="B50" s="91">
        <v>5.6369999999999996</v>
      </c>
      <c r="C50" s="92">
        <v>0.18809999999999899</v>
      </c>
      <c r="D50" s="92">
        <v>3.4520728954467699</v>
      </c>
      <c r="E50" s="92">
        <v>41.563806677632797</v>
      </c>
      <c r="F50" s="91">
        <v>5.7271999999999998</v>
      </c>
      <c r="G50" s="91">
        <v>5.3884999999999996</v>
      </c>
    </row>
    <row r="51" spans="1:7" ht="15" customHeight="1" x14ac:dyDescent="0.25">
      <c r="A51" s="89">
        <v>44440</v>
      </c>
      <c r="B51" s="93">
        <v>5.4489000000000001</v>
      </c>
      <c r="C51" s="94">
        <v>0.32934999999999898</v>
      </c>
      <c r="D51" s="94">
        <v>6.4331826039397901</v>
      </c>
      <c r="E51" s="94">
        <v>36.839990456936903</v>
      </c>
      <c r="F51" s="93">
        <v>5.4489000000000001</v>
      </c>
      <c r="G51" s="93">
        <v>5.1459999999999999</v>
      </c>
    </row>
    <row r="52" spans="1:7" ht="15" customHeight="1" x14ac:dyDescent="0.25">
      <c r="A52" s="88">
        <v>44409</v>
      </c>
      <c r="B52" s="91">
        <v>5.1195500000000003</v>
      </c>
      <c r="C52" s="92">
        <v>-2.75499999999997E-2</v>
      </c>
      <c r="D52" s="92">
        <v>-0.53525286083425605</v>
      </c>
      <c r="E52" s="92">
        <v>28.568917239041099</v>
      </c>
      <c r="F52" s="91">
        <v>5.4197499999999996</v>
      </c>
      <c r="G52" s="91">
        <v>5.1195500000000003</v>
      </c>
    </row>
    <row r="53" spans="1:7" ht="15" customHeight="1" x14ac:dyDescent="0.25">
      <c r="A53" s="89">
        <v>44378</v>
      </c>
      <c r="B53" s="93">
        <v>5.1471</v>
      </c>
      <c r="C53" s="94">
        <v>0.129249999999999</v>
      </c>
      <c r="D53" s="94">
        <v>2.5758043783692099</v>
      </c>
      <c r="E53" s="94">
        <v>29.260789311769301</v>
      </c>
      <c r="F53" s="93">
        <v>5.2832499999999998</v>
      </c>
      <c r="G53" s="93">
        <v>5.0130499999999998</v>
      </c>
    </row>
    <row r="54" spans="1:7" ht="15" customHeight="1" x14ac:dyDescent="0.25">
      <c r="A54" s="88">
        <v>44348</v>
      </c>
      <c r="B54" s="91">
        <v>5.0178500000000001</v>
      </c>
      <c r="C54" s="92">
        <v>-0.23019999999999899</v>
      </c>
      <c r="D54" s="92">
        <v>-4.3863911357551801</v>
      </c>
      <c r="E54" s="92">
        <v>26.014892201057201</v>
      </c>
      <c r="F54" s="91">
        <v>5.1544999999999996</v>
      </c>
      <c r="G54" s="91">
        <v>4.9278500000000003</v>
      </c>
    </row>
    <row r="55" spans="1:7" ht="15" customHeight="1" x14ac:dyDescent="0.25">
      <c r="A55" s="89">
        <v>44317</v>
      </c>
      <c r="B55" s="93">
        <v>5.2480500000000001</v>
      </c>
      <c r="C55" s="94">
        <v>-0.1772</v>
      </c>
      <c r="D55" s="94">
        <v>-3.26620893046403</v>
      </c>
      <c r="E55" s="94">
        <v>31.795979356847699</v>
      </c>
      <c r="F55" s="93">
        <v>5.4591000000000003</v>
      </c>
      <c r="G55" s="93">
        <v>5.2073499999999999</v>
      </c>
    </row>
    <row r="56" spans="1:7" ht="15" customHeight="1" x14ac:dyDescent="0.25">
      <c r="A56" s="88">
        <v>44287</v>
      </c>
      <c r="B56" s="91">
        <v>5.4252500000000001</v>
      </c>
      <c r="C56" s="92">
        <v>-0.217749999999999</v>
      </c>
      <c r="D56" s="92">
        <v>-3.8587630692893802</v>
      </c>
      <c r="E56" s="92">
        <v>36.246060347317197</v>
      </c>
      <c r="F56" s="91">
        <v>5.7207499999999998</v>
      </c>
      <c r="G56" s="91">
        <v>5.3542500000000004</v>
      </c>
    </row>
    <row r="57" spans="1:7" ht="15" customHeight="1" x14ac:dyDescent="0.25">
      <c r="A57" s="89">
        <v>44256</v>
      </c>
      <c r="B57" s="93">
        <v>5.6429999999999998</v>
      </c>
      <c r="C57" s="94">
        <v>6.9949999999999499E-2</v>
      </c>
      <c r="D57" s="94">
        <v>1.2551475403952801</v>
      </c>
      <c r="E57" s="94">
        <v>41.714486620876698</v>
      </c>
      <c r="F57" s="93">
        <v>5.80985</v>
      </c>
      <c r="G57" s="93">
        <v>5.4733499999999999</v>
      </c>
    </row>
    <row r="58" spans="1:7" ht="15" customHeight="1" x14ac:dyDescent="0.25">
      <c r="A58" s="88">
        <v>44228</v>
      </c>
      <c r="B58" s="91">
        <v>5.5730500000000003</v>
      </c>
      <c r="C58" s="92">
        <v>0.1133</v>
      </c>
      <c r="D58" s="92">
        <v>2.07518659279273</v>
      </c>
      <c r="E58" s="92">
        <v>39.957809615891698</v>
      </c>
      <c r="F58" s="91">
        <v>5.5730500000000003</v>
      </c>
      <c r="G58" s="91">
        <v>5.3319000000000001</v>
      </c>
    </row>
    <row r="59" spans="1:7" ht="15" customHeight="1" x14ac:dyDescent="0.25">
      <c r="A59" s="89">
        <v>44197</v>
      </c>
      <c r="B59" s="93">
        <v>5.4597499999999997</v>
      </c>
      <c r="C59" s="94">
        <v>0.26554999999999901</v>
      </c>
      <c r="D59" s="94">
        <v>5.1124330984559396</v>
      </c>
      <c r="E59" s="94">
        <v>37.112470020969603</v>
      </c>
      <c r="F59" s="93">
        <v>5.5045999999999999</v>
      </c>
      <c r="G59" s="93">
        <v>5.1942276999999999</v>
      </c>
    </row>
    <row r="60" spans="1:7" ht="15" customHeight="1" x14ac:dyDescent="0.25">
      <c r="A60" s="88">
        <v>44166</v>
      </c>
      <c r="B60" s="91">
        <v>5.1942000000000004</v>
      </c>
      <c r="C60" s="92">
        <v>-0.19194999999999901</v>
      </c>
      <c r="D60" s="92">
        <v>-3.5637700398243499</v>
      </c>
      <c r="E60" s="92">
        <v>30.443626866233799</v>
      </c>
      <c r="F60" s="91">
        <v>5.2969999999999997</v>
      </c>
      <c r="G60" s="91">
        <v>5.0576999999999996</v>
      </c>
    </row>
    <row r="61" spans="1:7" ht="15" customHeight="1" x14ac:dyDescent="0.25">
      <c r="A61" s="89">
        <v>44136</v>
      </c>
      <c r="B61" s="93">
        <v>5.3861499999999998</v>
      </c>
      <c r="C61" s="94">
        <v>-0.37985000000000002</v>
      </c>
      <c r="D61" s="94">
        <v>-6.5877558099202203</v>
      </c>
      <c r="E61" s="94">
        <v>35.264129383844597</v>
      </c>
      <c r="F61" s="93">
        <v>5.7454499999999999</v>
      </c>
      <c r="G61" s="93">
        <v>5.2929500000000003</v>
      </c>
    </row>
    <row r="62" spans="1:7" ht="15" customHeight="1" x14ac:dyDescent="0.25">
      <c r="A62" s="88">
        <v>44105</v>
      </c>
      <c r="B62" s="91">
        <v>5.766</v>
      </c>
      <c r="C62" s="92">
        <v>0.12955</v>
      </c>
      <c r="D62" s="92">
        <v>2.2984325240177701</v>
      </c>
      <c r="E62" s="92">
        <v>44.803425457376399</v>
      </c>
      <c r="F62" s="91">
        <v>5.7809999999999997</v>
      </c>
      <c r="G62" s="91">
        <v>5.4898499999999997</v>
      </c>
    </row>
    <row r="63" spans="1:7" ht="15" customHeight="1" x14ac:dyDescent="0.25">
      <c r="A63" s="89">
        <v>44075</v>
      </c>
      <c r="B63" s="93">
        <v>5.63645</v>
      </c>
      <c r="C63" s="94">
        <v>0.15054999999999899</v>
      </c>
      <c r="D63" s="94">
        <v>2.7443081354016701</v>
      </c>
      <c r="E63" s="94">
        <v>41.5499943495021</v>
      </c>
      <c r="F63" s="93">
        <v>5.6417999999999999</v>
      </c>
      <c r="G63" s="93">
        <v>5.2484999999999999</v>
      </c>
    </row>
    <row r="64" spans="1:7" ht="15" customHeight="1" x14ac:dyDescent="0.25">
      <c r="A64" s="88">
        <v>44044</v>
      </c>
      <c r="B64" s="91">
        <v>5.4859</v>
      </c>
      <c r="C64" s="92">
        <v>0.28010000000000002</v>
      </c>
      <c r="D64" s="92">
        <v>5.3805370932421503</v>
      </c>
      <c r="E64" s="92">
        <v>37.769183440274197</v>
      </c>
      <c r="F64" s="91">
        <v>5.65245</v>
      </c>
      <c r="G64" s="91">
        <v>5.2753500000000004</v>
      </c>
    </row>
    <row r="65" spans="1:7" ht="15" customHeight="1" x14ac:dyDescent="0.25">
      <c r="A65" s="89">
        <v>44013</v>
      </c>
      <c r="B65" s="93">
        <v>5.2058</v>
      </c>
      <c r="C65" s="94">
        <v>-0.28499999999999998</v>
      </c>
      <c r="D65" s="94">
        <v>-5.1905004735193403</v>
      </c>
      <c r="E65" s="94">
        <v>30.734941423172</v>
      </c>
      <c r="F65" s="93">
        <v>5.4494499999999997</v>
      </c>
      <c r="G65" s="93">
        <v>5.0994000000000002</v>
      </c>
    </row>
    <row r="66" spans="1:7" ht="15" customHeight="1" x14ac:dyDescent="0.25">
      <c r="A66" s="88">
        <v>43983</v>
      </c>
      <c r="B66" s="91">
        <v>5.4908000000000001</v>
      </c>
      <c r="C66" s="92">
        <v>5.9700000000000301E-2</v>
      </c>
      <c r="D66" s="92">
        <v>1.09922483474802</v>
      </c>
      <c r="E66" s="92">
        <v>37.892238727256697</v>
      </c>
      <c r="F66" s="91">
        <v>5.4908000000000001</v>
      </c>
      <c r="G66" s="91">
        <v>4.8940000000000001</v>
      </c>
    </row>
    <row r="67" spans="1:7" ht="15" customHeight="1" x14ac:dyDescent="0.25">
      <c r="A67" s="89">
        <v>43952</v>
      </c>
      <c r="B67" s="93">
        <v>5.4310999999999998</v>
      </c>
      <c r="C67" s="94">
        <v>1.7800000000000201E-2</v>
      </c>
      <c r="D67" s="94">
        <v>0.32881975874237102</v>
      </c>
      <c r="E67" s="94">
        <v>36.392973291979999</v>
      </c>
      <c r="F67" s="93">
        <v>5.9236000000000004</v>
      </c>
      <c r="G67" s="93">
        <v>5.31135</v>
      </c>
    </row>
    <row r="68" spans="1:7" ht="15" customHeight="1" x14ac:dyDescent="0.25">
      <c r="A68" s="88">
        <v>43922</v>
      </c>
      <c r="B68" s="91">
        <v>5.4132999999999996</v>
      </c>
      <c r="C68" s="92">
        <v>0.22669999999999901</v>
      </c>
      <c r="D68" s="92">
        <v>4.3708788030694299</v>
      </c>
      <c r="E68" s="92">
        <v>35.945956127023102</v>
      </c>
      <c r="F68" s="91">
        <v>5.6885000000000003</v>
      </c>
      <c r="G68" s="91">
        <v>5.0545372999999998</v>
      </c>
    </row>
    <row r="69" spans="1:7" ht="15" customHeight="1" x14ac:dyDescent="0.25">
      <c r="A69" s="89">
        <v>43891</v>
      </c>
      <c r="B69" s="93">
        <v>5.1866000000000003</v>
      </c>
      <c r="C69" s="94">
        <v>0.67494999999999905</v>
      </c>
      <c r="D69" s="94">
        <v>14.9601587002537</v>
      </c>
      <c r="E69" s="94">
        <v>30.252765604791598</v>
      </c>
      <c r="F69" s="93">
        <v>5.1866000000000003</v>
      </c>
      <c r="G69" s="93">
        <v>4.4587500000000002</v>
      </c>
    </row>
    <row r="70" spans="1:7" ht="15" customHeight="1" x14ac:dyDescent="0.25">
      <c r="A70" s="88">
        <v>43862</v>
      </c>
      <c r="B70" s="91">
        <v>4.5116500000000004</v>
      </c>
      <c r="C70" s="92">
        <v>0.2384</v>
      </c>
      <c r="D70" s="92">
        <v>5.5788919440706799</v>
      </c>
      <c r="E70" s="92">
        <v>13.3025276560479</v>
      </c>
      <c r="F70" s="91">
        <v>4.5116500000000004</v>
      </c>
      <c r="G70" s="91">
        <v>4.2384500000000003</v>
      </c>
    </row>
    <row r="71" spans="1:7" ht="15" customHeight="1" x14ac:dyDescent="0.25">
      <c r="A71" s="89">
        <v>43831</v>
      </c>
      <c r="B71" s="93">
        <v>4.27325</v>
      </c>
      <c r="C71" s="94">
        <v>0.250549999999999</v>
      </c>
      <c r="D71" s="94">
        <v>6.2284038083873803</v>
      </c>
      <c r="E71" s="94">
        <v>7.31551124449076</v>
      </c>
      <c r="F71" s="93">
        <v>4.27325</v>
      </c>
      <c r="G71" s="93">
        <v>4.0226835999999997</v>
      </c>
    </row>
    <row r="72" spans="1:7" ht="15" customHeight="1" x14ac:dyDescent="0.25">
      <c r="A72" s="88">
        <v>43800</v>
      </c>
      <c r="B72" s="91">
        <v>4.0227000000000004</v>
      </c>
      <c r="C72" s="92">
        <v>-0.20559999999999901</v>
      </c>
      <c r="D72" s="92">
        <v>-4.86247428044366</v>
      </c>
      <c r="E72" s="92">
        <v>1.0233679478647499</v>
      </c>
      <c r="F72" s="91">
        <v>4.2194000000000003</v>
      </c>
      <c r="G72" s="91">
        <v>4.0223500000000003</v>
      </c>
    </row>
    <row r="73" spans="1:7" ht="15" customHeight="1" x14ac:dyDescent="0.25">
      <c r="A73" s="89">
        <v>43770</v>
      </c>
      <c r="B73" s="93">
        <v>4.2282999999999999</v>
      </c>
      <c r="C73" s="94">
        <v>0.21389999999999901</v>
      </c>
      <c r="D73" s="94">
        <v>5.3283180550019704</v>
      </c>
      <c r="E73" s="94">
        <v>6.1866673363553</v>
      </c>
      <c r="F73" s="93">
        <v>4.2666500000000003</v>
      </c>
      <c r="G73" s="93">
        <v>3.9768500000000002</v>
      </c>
    </row>
    <row r="74" spans="1:7" ht="15" customHeight="1" x14ac:dyDescent="0.25">
      <c r="A74" s="88">
        <v>43739</v>
      </c>
      <c r="B74" s="91">
        <v>4.0144000000000002</v>
      </c>
      <c r="C74" s="92">
        <v>-0.150999999999999</v>
      </c>
      <c r="D74" s="92">
        <v>-3.6251020310174198</v>
      </c>
      <c r="E74" s="92">
        <v>0.81492735971070196</v>
      </c>
      <c r="F74" s="91">
        <v>4.1737500000000001</v>
      </c>
      <c r="G74" s="91">
        <v>3.9772500000000002</v>
      </c>
    </row>
    <row r="75" spans="1:7" ht="15" customHeight="1" x14ac:dyDescent="0.25">
      <c r="A75" s="89">
        <v>43709</v>
      </c>
      <c r="B75" s="93">
        <v>4.1654</v>
      </c>
      <c r="C75" s="94">
        <v>3.3199999999999799E-2</v>
      </c>
      <c r="D75" s="94">
        <v>0.80344610619040802</v>
      </c>
      <c r="E75" s="94">
        <v>4.6070392646818803</v>
      </c>
      <c r="F75" s="93">
        <v>4.1784999999999997</v>
      </c>
      <c r="G75" s="93">
        <v>4.0541999999999998</v>
      </c>
    </row>
    <row r="76" spans="1:7" ht="15" customHeight="1" x14ac:dyDescent="0.25">
      <c r="A76" s="88">
        <v>43678</v>
      </c>
      <c r="B76" s="91">
        <v>4.1322000000000001</v>
      </c>
      <c r="C76" s="92">
        <v>0.36959999999999998</v>
      </c>
      <c r="D76" s="92">
        <v>9.8229947376814</v>
      </c>
      <c r="E76" s="92">
        <v>3.7732769120656999</v>
      </c>
      <c r="F76" s="91">
        <v>4.1681499999999998</v>
      </c>
      <c r="G76" s="91">
        <v>3.8271500000000001</v>
      </c>
    </row>
    <row r="77" spans="1:7" ht="15" customHeight="1" x14ac:dyDescent="0.25">
      <c r="A77" s="89">
        <v>43647</v>
      </c>
      <c r="B77" s="93">
        <v>3.7625999999999999</v>
      </c>
      <c r="C77" s="94">
        <v>-7.0050000000000098E-2</v>
      </c>
      <c r="D77" s="94">
        <v>-1.82771711479002</v>
      </c>
      <c r="E77" s="94">
        <v>-5.5086075917577997</v>
      </c>
      <c r="F77" s="93">
        <v>3.8546499999999999</v>
      </c>
      <c r="G77" s="93">
        <v>3.7382</v>
      </c>
    </row>
    <row r="78" spans="1:7" ht="15" customHeight="1" x14ac:dyDescent="0.25">
      <c r="A78" s="88">
        <v>43617</v>
      </c>
      <c r="B78" s="91">
        <v>3.8326500000000001</v>
      </c>
      <c r="C78" s="92">
        <v>-8.1749999999999906E-2</v>
      </c>
      <c r="D78" s="92">
        <v>-2.0884426732066199</v>
      </c>
      <c r="E78" s="92">
        <v>-3.7494192543853999</v>
      </c>
      <c r="F78" s="91">
        <v>3.9011</v>
      </c>
      <c r="G78" s="91">
        <v>3.8175500000000002</v>
      </c>
    </row>
    <row r="79" spans="1:7" ht="15" customHeight="1" x14ac:dyDescent="0.25">
      <c r="A79" s="89">
        <v>43586</v>
      </c>
      <c r="B79" s="93">
        <v>3.9144000000000001</v>
      </c>
      <c r="C79" s="94">
        <v>-3.58999999999998E-2</v>
      </c>
      <c r="D79" s="94">
        <v>-0.90879173733639995</v>
      </c>
      <c r="E79" s="94">
        <v>-1.6964050276874301</v>
      </c>
      <c r="F79" s="93">
        <v>4.1082999999999998</v>
      </c>
      <c r="G79" s="93">
        <v>3.9144000000000001</v>
      </c>
    </row>
    <row r="80" spans="1:7" ht="15" customHeight="1" x14ac:dyDescent="0.25">
      <c r="A80" s="88">
        <v>43556</v>
      </c>
      <c r="B80" s="91">
        <v>3.9502999999999999</v>
      </c>
      <c r="C80" s="92">
        <v>5.8599999999999701E-2</v>
      </c>
      <c r="D80" s="92">
        <v>1.50576868720608</v>
      </c>
      <c r="E80" s="92">
        <v>-0.79483670061150802</v>
      </c>
      <c r="F80" s="91">
        <v>3.9681000000000002</v>
      </c>
      <c r="G80" s="91">
        <v>3.8283499999999999</v>
      </c>
    </row>
    <row r="81" spans="1:7" ht="15" customHeight="1" x14ac:dyDescent="0.25">
      <c r="A81" s="89">
        <v>43525</v>
      </c>
      <c r="B81" s="93">
        <v>3.8917000000000002</v>
      </c>
      <c r="C81" s="94">
        <v>0.14144999999999999</v>
      </c>
      <c r="D81" s="94">
        <v>3.7717485500966701</v>
      </c>
      <c r="E81" s="94">
        <v>-2.2664774796268001</v>
      </c>
      <c r="F81" s="93">
        <v>3.96875</v>
      </c>
      <c r="G81" s="93">
        <v>3.7671999999999999</v>
      </c>
    </row>
    <row r="82" spans="1:7" ht="15" customHeight="1" x14ac:dyDescent="0.25">
      <c r="A82" s="88">
        <v>43497</v>
      </c>
      <c r="B82" s="91">
        <v>3.7502499999999999</v>
      </c>
      <c r="C82" s="92">
        <v>0.10745</v>
      </c>
      <c r="D82" s="92">
        <v>2.94965411222136</v>
      </c>
      <c r="E82" s="92">
        <v>-5.8187571416014698</v>
      </c>
      <c r="F82" s="91">
        <v>3.7646500000000001</v>
      </c>
      <c r="G82" s="91">
        <v>3.6501999999999999</v>
      </c>
    </row>
    <row r="83" spans="1:7" ht="15" customHeight="1" x14ac:dyDescent="0.25">
      <c r="A83" s="89">
        <v>43466</v>
      </c>
      <c r="B83" s="93">
        <v>3.6427999999999998</v>
      </c>
      <c r="C83" s="94">
        <v>-0.23294999999999999</v>
      </c>
      <c r="D83" s="94">
        <v>-6.0104495904018602</v>
      </c>
      <c r="E83" s="94">
        <v>-8.51718379186077</v>
      </c>
      <c r="F83" s="93">
        <v>3.8757459999999999</v>
      </c>
      <c r="G83" s="93">
        <v>3.6427999999999998</v>
      </c>
    </row>
    <row r="84" spans="1:7" ht="15" customHeight="1" x14ac:dyDescent="0.25">
      <c r="A84" s="88">
        <v>43435</v>
      </c>
      <c r="B84" s="91">
        <v>3.87575</v>
      </c>
      <c r="C84" s="92">
        <v>9.5000000000000596E-4</v>
      </c>
      <c r="D84" s="92">
        <v>2.45173944461551E-2</v>
      </c>
      <c r="E84" s="92">
        <v>-2.66703499541681</v>
      </c>
      <c r="F84" s="91">
        <v>3.9332500000000001</v>
      </c>
      <c r="G84" s="91">
        <v>3.8283</v>
      </c>
    </row>
    <row r="85" spans="1:7" ht="15" customHeight="1" x14ac:dyDescent="0.25">
      <c r="A85" s="89">
        <v>43405</v>
      </c>
      <c r="B85" s="93">
        <v>3.8748</v>
      </c>
      <c r="C85" s="94">
        <v>0.160299999999999</v>
      </c>
      <c r="D85" s="94">
        <v>4.3155202584466101</v>
      </c>
      <c r="E85" s="94">
        <v>-2.69089265309709</v>
      </c>
      <c r="F85" s="93">
        <v>3.8877000000000002</v>
      </c>
      <c r="G85" s="93">
        <v>3.6972999999999998</v>
      </c>
    </row>
    <row r="86" spans="1:7" ht="15" customHeight="1" x14ac:dyDescent="0.25">
      <c r="A86" s="88">
        <v>43374</v>
      </c>
      <c r="B86" s="91">
        <v>3.7145000000000001</v>
      </c>
      <c r="C86" s="92">
        <v>-0.27904999999999902</v>
      </c>
      <c r="D86" s="92">
        <v>-6.9875173717619603</v>
      </c>
      <c r="E86" s="92">
        <v>-6.7165584700962997</v>
      </c>
      <c r="F86" s="91">
        <v>4.0282999999999998</v>
      </c>
      <c r="G86" s="91">
        <v>3.66865</v>
      </c>
    </row>
    <row r="87" spans="1:7" ht="15" customHeight="1" x14ac:dyDescent="0.25">
      <c r="A87" s="89">
        <v>43344</v>
      </c>
      <c r="B87" s="93">
        <v>3.9935499999999999</v>
      </c>
      <c r="C87" s="94">
        <v>-0.126549999999999</v>
      </c>
      <c r="D87" s="94">
        <v>-3.07152739011189</v>
      </c>
      <c r="E87" s="94">
        <v>0.29131455693818398</v>
      </c>
      <c r="F87" s="93">
        <v>4.1837999999999997</v>
      </c>
      <c r="G87" s="93">
        <v>3.9847000000000001</v>
      </c>
    </row>
    <row r="88" spans="1:7" ht="15" customHeight="1" x14ac:dyDescent="0.25">
      <c r="A88" s="88">
        <v>43313</v>
      </c>
      <c r="B88" s="91">
        <v>4.1200999999999999</v>
      </c>
      <c r="C88" s="92">
        <v>0.363449999999999</v>
      </c>
      <c r="D88" s="92">
        <v>9.6748432779204698</v>
      </c>
      <c r="E88" s="92">
        <v>3.4694056931905202</v>
      </c>
      <c r="F88" s="91">
        <v>4.1821000000000002</v>
      </c>
      <c r="G88" s="91">
        <v>3.7090999999999998</v>
      </c>
    </row>
    <row r="89" spans="1:7" ht="15" customHeight="1" x14ac:dyDescent="0.25">
      <c r="A89" s="89">
        <v>43282</v>
      </c>
      <c r="B89" s="93">
        <v>3.75665</v>
      </c>
      <c r="C89" s="94">
        <v>-9.0749999999999803E-2</v>
      </c>
      <c r="D89" s="94">
        <v>-2.3587357696106399</v>
      </c>
      <c r="E89" s="94">
        <v>-5.6580318688079903</v>
      </c>
      <c r="F89" s="93">
        <v>3.9286500000000002</v>
      </c>
      <c r="G89" s="93">
        <v>3.7054999999999998</v>
      </c>
    </row>
    <row r="90" spans="1:7" ht="15" customHeight="1" x14ac:dyDescent="0.25">
      <c r="A90" s="88">
        <v>43252</v>
      </c>
      <c r="B90" s="91">
        <v>3.8473999999999999</v>
      </c>
      <c r="C90" s="92">
        <v>0.123349999999999</v>
      </c>
      <c r="D90" s="92">
        <v>3.3122541319262599</v>
      </c>
      <c r="E90" s="92">
        <v>-3.37899772724418</v>
      </c>
      <c r="F90" s="91">
        <v>3.8897499999999998</v>
      </c>
      <c r="G90" s="91">
        <v>3.6774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1- Consolidated</vt:lpstr>
      <vt:lpstr>2- Detailed</vt:lpstr>
      <vt:lpstr>3- Support - FX 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Joppert</dc:creator>
  <cp:keywords/>
  <dc:description/>
  <cp:lastModifiedBy>Amanda Bastos | Spectra Investimentos</cp:lastModifiedBy>
  <cp:revision/>
  <dcterms:created xsi:type="dcterms:W3CDTF">2021-08-03T18:04:49Z</dcterms:created>
  <dcterms:modified xsi:type="dcterms:W3CDTF">2026-01-06T21:13:54Z</dcterms:modified>
  <cp:category/>
  <cp:contentStatus/>
</cp:coreProperties>
</file>